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41.250\Office\common folder\Planeteye Farm AI\F2\INDIVIDUAL PROJECT\"/>
    </mc:Choice>
  </mc:AlternateContent>
  <bookViews>
    <workbookView xWindow="0" yWindow="0" windowWidth="28800" windowHeight="11985"/>
  </bookViews>
  <sheets>
    <sheet name="ee-chart (65)" sheetId="1" r:id="rId1"/>
  </sheets>
  <calcPr calcId="162913"/>
</workbook>
</file>

<file path=xl/calcChain.xml><?xml version="1.0" encoding="utf-8"?>
<calcChain xmlns="http://schemas.openxmlformats.org/spreadsheetml/2006/main">
  <c r="S38" i="1" l="1"/>
  <c r="S39" i="1"/>
  <c r="S40" i="1"/>
  <c r="S41" i="1"/>
  <c r="S42" i="1"/>
  <c r="S43" i="1"/>
  <c r="S44" i="1"/>
  <c r="S45" i="1"/>
  <c r="S46" i="1"/>
  <c r="S47" i="1"/>
  <c r="S48" i="1"/>
  <c r="R38" i="1"/>
  <c r="R39" i="1"/>
  <c r="R40" i="1"/>
  <c r="R41" i="1"/>
  <c r="R42" i="1"/>
  <c r="R43" i="1"/>
  <c r="R44" i="1"/>
  <c r="R45" i="1"/>
  <c r="R46" i="1"/>
  <c r="R47" i="1"/>
  <c r="R48" i="1"/>
  <c r="Q38" i="1"/>
  <c r="Q39" i="1"/>
  <c r="Q40" i="1"/>
  <c r="Q41" i="1"/>
  <c r="Q42" i="1"/>
  <c r="Q43" i="1"/>
  <c r="Q44" i="1"/>
  <c r="Q45" i="1"/>
  <c r="Q46" i="1"/>
  <c r="Q47" i="1"/>
  <c r="Q48" i="1"/>
  <c r="P38" i="1"/>
  <c r="P39" i="1"/>
  <c r="P40" i="1"/>
  <c r="P41" i="1"/>
  <c r="P42" i="1"/>
  <c r="P43" i="1"/>
  <c r="P44" i="1"/>
  <c r="P45" i="1"/>
  <c r="P46" i="1"/>
  <c r="P47" i="1"/>
  <c r="P48" i="1"/>
  <c r="O38" i="1"/>
  <c r="O39" i="1"/>
  <c r="O40" i="1"/>
  <c r="O41" i="1"/>
  <c r="O42" i="1"/>
  <c r="O43" i="1"/>
  <c r="O44" i="1"/>
  <c r="O45" i="1"/>
  <c r="O46" i="1"/>
  <c r="O47" i="1"/>
  <c r="O48" i="1"/>
  <c r="N38" i="1"/>
  <c r="N39" i="1"/>
  <c r="N40" i="1"/>
  <c r="N41" i="1"/>
  <c r="N42" i="1"/>
  <c r="N43" i="1"/>
  <c r="N44" i="1"/>
  <c r="N45" i="1"/>
  <c r="N46" i="1"/>
  <c r="N47" i="1"/>
  <c r="N48" i="1"/>
  <c r="M38" i="1"/>
  <c r="M39" i="1"/>
  <c r="M40" i="1"/>
  <c r="M41" i="1"/>
  <c r="M42" i="1"/>
  <c r="M43" i="1"/>
  <c r="M44" i="1"/>
  <c r="M45" i="1"/>
  <c r="M46" i="1"/>
  <c r="M47" i="1"/>
  <c r="M48" i="1"/>
  <c r="L38" i="1"/>
  <c r="L39" i="1"/>
  <c r="L40" i="1"/>
  <c r="L41" i="1"/>
  <c r="L42" i="1"/>
  <c r="L43" i="1"/>
  <c r="L44" i="1"/>
  <c r="L45" i="1"/>
  <c r="L46" i="1"/>
  <c r="L47" i="1"/>
  <c r="L48" i="1"/>
  <c r="S26" i="1"/>
  <c r="S27" i="1"/>
  <c r="S28" i="1"/>
  <c r="S29" i="1"/>
  <c r="S30" i="1"/>
  <c r="S31" i="1"/>
  <c r="S32" i="1"/>
  <c r="S33" i="1"/>
  <c r="S34" i="1"/>
  <c r="S35" i="1"/>
  <c r="S36" i="1"/>
  <c r="R26" i="1"/>
  <c r="R27" i="1"/>
  <c r="R28" i="1"/>
  <c r="R29" i="1"/>
  <c r="R30" i="1"/>
  <c r="R31" i="1"/>
  <c r="R32" i="1"/>
  <c r="R33" i="1"/>
  <c r="R34" i="1"/>
  <c r="R35" i="1"/>
  <c r="R36" i="1"/>
  <c r="Q26" i="1"/>
  <c r="Q27" i="1"/>
  <c r="Q28" i="1"/>
  <c r="Q29" i="1"/>
  <c r="Q30" i="1"/>
  <c r="Q31" i="1"/>
  <c r="Q32" i="1"/>
  <c r="Q33" i="1"/>
  <c r="Q34" i="1"/>
  <c r="Q35" i="1"/>
  <c r="Q36" i="1"/>
  <c r="P26" i="1"/>
  <c r="P27" i="1"/>
  <c r="P28" i="1"/>
  <c r="P29" i="1"/>
  <c r="P30" i="1"/>
  <c r="P31" i="1"/>
  <c r="P32" i="1"/>
  <c r="P33" i="1"/>
  <c r="P34" i="1"/>
  <c r="P35" i="1"/>
  <c r="P36" i="1"/>
  <c r="S3" i="1"/>
  <c r="S4" i="1"/>
  <c r="S5" i="1"/>
  <c r="S6" i="1"/>
  <c r="S7" i="1"/>
  <c r="S8" i="1"/>
  <c r="S9" i="1"/>
  <c r="S10" i="1"/>
  <c r="S11" i="1"/>
  <c r="S12" i="1"/>
  <c r="R3" i="1"/>
  <c r="R4" i="1"/>
  <c r="R5" i="1"/>
  <c r="R6" i="1"/>
  <c r="R7" i="1"/>
  <c r="R8" i="1"/>
  <c r="R9" i="1"/>
  <c r="R10" i="1"/>
  <c r="R11" i="1"/>
  <c r="R12" i="1"/>
  <c r="S2" i="1"/>
  <c r="R2" i="1"/>
  <c r="Q3" i="1"/>
  <c r="Q4" i="1"/>
  <c r="Q5" i="1"/>
  <c r="Q6" i="1"/>
  <c r="Q7" i="1"/>
  <c r="Q8" i="1"/>
  <c r="Q9" i="1"/>
  <c r="Q10" i="1"/>
  <c r="Q11" i="1"/>
  <c r="Q12" i="1"/>
  <c r="Q2" i="1"/>
  <c r="S15" i="1"/>
  <c r="S16" i="1"/>
  <c r="S17" i="1"/>
  <c r="S18" i="1"/>
  <c r="S19" i="1"/>
  <c r="S20" i="1"/>
  <c r="S21" i="1"/>
  <c r="S22" i="1"/>
  <c r="S23" i="1"/>
  <c r="S24" i="1"/>
  <c r="R15" i="1"/>
  <c r="R16" i="1"/>
  <c r="R17" i="1"/>
  <c r="R18" i="1"/>
  <c r="R19" i="1"/>
  <c r="R20" i="1"/>
  <c r="R21" i="1"/>
  <c r="R22" i="1"/>
  <c r="R23" i="1"/>
  <c r="R24" i="1"/>
  <c r="S14" i="1"/>
  <c r="R14" i="1"/>
  <c r="Q15" i="1"/>
  <c r="Q16" i="1"/>
  <c r="Q17" i="1"/>
  <c r="Q18" i="1"/>
  <c r="Q19" i="1"/>
  <c r="Q20" i="1"/>
  <c r="Q21" i="1"/>
  <c r="Q22" i="1"/>
  <c r="Q23" i="1"/>
  <c r="Q24" i="1"/>
  <c r="Q14" i="1"/>
  <c r="O26" i="1" l="1"/>
  <c r="O27" i="1"/>
  <c r="O28" i="1"/>
  <c r="O29" i="1"/>
  <c r="O30" i="1"/>
  <c r="O31" i="1"/>
  <c r="O32" i="1"/>
  <c r="O33" i="1"/>
  <c r="O34" i="1"/>
  <c r="O35" i="1"/>
  <c r="O36" i="1"/>
  <c r="N26" i="1"/>
  <c r="N27" i="1"/>
  <c r="N28" i="1"/>
  <c r="N29" i="1"/>
  <c r="N30" i="1"/>
  <c r="N31" i="1"/>
  <c r="N32" i="1"/>
  <c r="N33" i="1"/>
  <c r="N34" i="1"/>
  <c r="N35" i="1"/>
  <c r="N36" i="1"/>
  <c r="L36" i="1"/>
  <c r="M26" i="1"/>
  <c r="M27" i="1"/>
  <c r="M28" i="1"/>
  <c r="M29" i="1"/>
  <c r="M30" i="1"/>
  <c r="M31" i="1"/>
  <c r="M32" i="1"/>
  <c r="M33" i="1"/>
  <c r="M34" i="1"/>
  <c r="M35" i="1"/>
  <c r="M36" i="1"/>
  <c r="L26" i="1"/>
  <c r="L27" i="1"/>
  <c r="L28" i="1"/>
  <c r="L29" i="1"/>
  <c r="L30" i="1"/>
  <c r="L31" i="1"/>
  <c r="L32" i="1"/>
  <c r="L33" i="1"/>
  <c r="L34" i="1"/>
  <c r="L35" i="1"/>
  <c r="P17" i="1" l="1"/>
  <c r="P18" i="1"/>
  <c r="P19" i="1"/>
  <c r="P20" i="1"/>
  <c r="P2" i="1"/>
  <c r="O14" i="1"/>
  <c r="O15" i="1"/>
  <c r="O16" i="1"/>
  <c r="O17" i="1"/>
  <c r="O18" i="1"/>
  <c r="O19" i="1"/>
  <c r="O20" i="1"/>
  <c r="O21" i="1"/>
  <c r="O22" i="1"/>
  <c r="O23" i="1"/>
  <c r="O24" i="1"/>
  <c r="N14" i="1"/>
  <c r="P14" i="1" s="1"/>
  <c r="N15" i="1"/>
  <c r="N16" i="1"/>
  <c r="N17" i="1"/>
  <c r="N18" i="1"/>
  <c r="N19" i="1"/>
  <c r="N20" i="1"/>
  <c r="N21" i="1"/>
  <c r="P21" i="1" s="1"/>
  <c r="N22" i="1"/>
  <c r="P22" i="1" s="1"/>
  <c r="N23" i="1"/>
  <c r="N24" i="1"/>
  <c r="M14" i="1"/>
  <c r="M15" i="1"/>
  <c r="M16" i="1"/>
  <c r="M17" i="1"/>
  <c r="M18" i="1"/>
  <c r="M19" i="1"/>
  <c r="M20" i="1"/>
  <c r="M21" i="1"/>
  <c r="M22" i="1"/>
  <c r="M23" i="1"/>
  <c r="M24" i="1"/>
  <c r="L14" i="1"/>
  <c r="L15" i="1"/>
  <c r="P15" i="1" s="1"/>
  <c r="L16" i="1"/>
  <c r="P16" i="1" s="1"/>
  <c r="L17" i="1"/>
  <c r="L18" i="1"/>
  <c r="L19" i="1"/>
  <c r="L20" i="1"/>
  <c r="L21" i="1"/>
  <c r="L22" i="1"/>
  <c r="L23" i="1"/>
  <c r="P23" i="1" s="1"/>
  <c r="L24" i="1"/>
  <c r="P24" i="1" s="1"/>
  <c r="O3" i="1"/>
  <c r="O4" i="1"/>
  <c r="O5" i="1"/>
  <c r="O6" i="1"/>
  <c r="O7" i="1"/>
  <c r="O8" i="1"/>
  <c r="O9" i="1"/>
  <c r="O10" i="1"/>
  <c r="O11" i="1"/>
  <c r="O12" i="1"/>
  <c r="N3" i="1"/>
  <c r="P3" i="1" s="1"/>
  <c r="N4" i="1"/>
  <c r="P4" i="1" s="1"/>
  <c r="N5" i="1"/>
  <c r="P5" i="1" s="1"/>
  <c r="N6" i="1"/>
  <c r="P6" i="1" s="1"/>
  <c r="N7" i="1"/>
  <c r="P7" i="1" s="1"/>
  <c r="N8" i="1"/>
  <c r="P8" i="1" s="1"/>
  <c r="N9" i="1"/>
  <c r="N10" i="1"/>
  <c r="N11" i="1"/>
  <c r="P11" i="1" s="1"/>
  <c r="N12" i="1"/>
  <c r="P12" i="1" s="1"/>
  <c r="M3" i="1"/>
  <c r="M4" i="1"/>
  <c r="M5" i="1"/>
  <c r="M6" i="1"/>
  <c r="M7" i="1"/>
  <c r="M8" i="1"/>
  <c r="M9" i="1"/>
  <c r="M10" i="1"/>
  <c r="M11" i="1"/>
  <c r="M12" i="1"/>
  <c r="L3" i="1"/>
  <c r="L4" i="1"/>
  <c r="L5" i="1"/>
  <c r="L6" i="1"/>
  <c r="L7" i="1"/>
  <c r="L8" i="1"/>
  <c r="L9" i="1"/>
  <c r="P9" i="1" s="1"/>
  <c r="L10" i="1"/>
  <c r="P10" i="1" s="1"/>
  <c r="L11" i="1"/>
  <c r="L12" i="1"/>
  <c r="O2" i="1"/>
  <c r="N2" i="1"/>
  <c r="M2" i="1"/>
  <c r="L2" i="1"/>
</calcChain>
</file>

<file path=xl/sharedStrings.xml><?xml version="1.0" encoding="utf-8"?>
<sst xmlns="http://schemas.openxmlformats.org/spreadsheetml/2006/main" count="53" uniqueCount="23">
  <si>
    <t>Min</t>
  </si>
  <si>
    <t>Max</t>
  </si>
  <si>
    <t>Median</t>
  </si>
  <si>
    <t>Average</t>
  </si>
  <si>
    <t>Date range</t>
  </si>
  <si>
    <t>01-05-2023 to 31-12-2024</t>
  </si>
  <si>
    <t>wavelength</t>
  </si>
  <si>
    <t>Adsali</t>
  </si>
  <si>
    <t>Suru</t>
  </si>
  <si>
    <t>01-12-2023 to 01-12-2024</t>
  </si>
  <si>
    <t>Range 1</t>
  </si>
  <si>
    <t>Range 2</t>
  </si>
  <si>
    <t>Median 1</t>
  </si>
  <si>
    <t>Median 2</t>
  </si>
  <si>
    <t>Ratoon</t>
  </si>
  <si>
    <t>2023-01-01 to 2024-02-28</t>
  </si>
  <si>
    <t>Preseasonal</t>
  </si>
  <si>
    <t>Adsali = 58,60,24,25,10,11,150,210</t>
  </si>
  <si>
    <t>Suru= 10,15,17,18,19,20,21,22</t>
  </si>
  <si>
    <t xml:space="preserve">Khodwa 89,88,70,73,75,77,28,32,34,38 </t>
  </si>
  <si>
    <t>Preseasonal 96,99,100,74,60,17,18,19,23,24</t>
  </si>
  <si>
    <t xml:space="preserve">Ground truthing  folder </t>
  </si>
  <si>
    <t>2023-09-01 to 2024-12-31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</si>
</sst>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1" fontId="0" fillId="0" borderId="0" xfId="0" applyNumberFormat="1"/>
    <xf numFmtId="1" fontId="0" fillId="34" borderId="0" xfId="0" applyNumberFormat="1" applyFill="1"/>
    <xf numFmtId="0" fontId="0" fillId="34" borderId="0" xfId="0" applyFill="1"/>
    <xf numFmtId="3" fontId="0" fillId="34" borderId="0" xfId="0" applyNumberFormat="1" applyFill="1"/>
    <xf numFmtId="0" fontId="0" fillId="33" borderId="0" xfId="0" applyFill="1" applyAlignment="1">
      <alignment horizontal="center" vertical="center"/>
    </xf>
    <xf numFmtId="0" fontId="0" fillId="33" borderId="0" xfId="0" applyFill="1" applyAlignment="1">
      <alignment vertical="center"/>
    </xf>
    <xf numFmtId="0" fontId="0" fillId="35" borderId="0" xfId="0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1" fontId="0" fillId="37" borderId="0" xfId="0" applyNumberFormat="1" applyFill="1"/>
    <xf numFmtId="0" fontId="0" fillId="35" borderId="0" xfId="0" applyFill="1"/>
    <xf numFmtId="1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"/>
  <sheetViews>
    <sheetView tabSelected="1" topLeftCell="A34" zoomScale="130" zoomScaleNormal="130" workbookViewId="0">
      <selection activeCell="V44" sqref="V44"/>
    </sheetView>
  </sheetViews>
  <sheetFormatPr defaultRowHeight="15" x14ac:dyDescent="0.25"/>
  <cols>
    <col min="1" max="1" width="11.42578125" bestFit="1" customWidth="1"/>
    <col min="16" max="16" width="8" customWidth="1"/>
    <col min="17" max="17" width="7" customWidth="1"/>
    <col min="18" max="18" width="10.140625" customWidth="1"/>
    <col min="19" max="19" width="10.5703125" customWidth="1"/>
  </cols>
  <sheetData>
    <row r="1" spans="1:21" ht="29.25" customHeight="1" x14ac:dyDescent="0.25">
      <c r="A1" s="6" t="s">
        <v>6</v>
      </c>
      <c r="B1" s="5">
        <v>1</v>
      </c>
      <c r="C1" s="5">
        <v>2</v>
      </c>
      <c r="D1" s="5">
        <v>3</v>
      </c>
      <c r="E1" s="5">
        <v>4</v>
      </c>
      <c r="F1" s="5">
        <v>5</v>
      </c>
      <c r="G1" s="5">
        <v>6</v>
      </c>
      <c r="H1" s="5">
        <v>7</v>
      </c>
      <c r="I1" s="5">
        <v>8</v>
      </c>
      <c r="J1" s="5">
        <v>9</v>
      </c>
      <c r="K1" s="5">
        <v>10</v>
      </c>
      <c r="L1" s="5" t="s">
        <v>0</v>
      </c>
      <c r="M1" s="5" t="s">
        <v>1</v>
      </c>
      <c r="N1" s="5" t="s">
        <v>2</v>
      </c>
      <c r="O1" s="5" t="s">
        <v>3</v>
      </c>
      <c r="P1" s="5" t="s">
        <v>10</v>
      </c>
      <c r="Q1" s="5" t="s">
        <v>11</v>
      </c>
      <c r="R1" s="8" t="s">
        <v>12</v>
      </c>
      <c r="S1" s="8" t="s">
        <v>13</v>
      </c>
      <c r="T1" s="5" t="s">
        <v>4</v>
      </c>
      <c r="U1" s="7" t="s">
        <v>7</v>
      </c>
    </row>
    <row r="2" spans="1:21" x14ac:dyDescent="0.25">
      <c r="A2" s="3">
        <v>490</v>
      </c>
      <c r="B2" s="1">
        <v>3466.7190000000001</v>
      </c>
      <c r="C2" s="1">
        <v>3658.4110000000001</v>
      </c>
      <c r="D2" s="1">
        <v>3639.1410000000001</v>
      </c>
      <c r="E2" s="1">
        <v>3621.4389999999999</v>
      </c>
      <c r="F2" s="1">
        <v>3432.05</v>
      </c>
      <c r="G2" s="1">
        <v>3540.3490000000002</v>
      </c>
      <c r="H2" s="1">
        <v>3562.8670000000002</v>
      </c>
      <c r="I2" s="1">
        <v>3829.1869999999999</v>
      </c>
      <c r="J2" s="1">
        <v>3746.6779999999999</v>
      </c>
      <c r="K2" s="1">
        <v>3479.9560000000001</v>
      </c>
      <c r="L2" s="2">
        <f>MIN(B2:K2)</f>
        <v>3432.05</v>
      </c>
      <c r="M2" s="2">
        <f>MAX(B2:K2)</f>
        <v>3829.1869999999999</v>
      </c>
      <c r="N2" s="2">
        <f>MEDIAN(B2:K2)</f>
        <v>3592.1530000000002</v>
      </c>
      <c r="O2" s="2">
        <f>AVERAGE(B2:K2)</f>
        <v>3597.6796999999997</v>
      </c>
      <c r="P2" s="1">
        <f>N2-L2</f>
        <v>160.10300000000007</v>
      </c>
      <c r="Q2" s="1">
        <f>M2-N2</f>
        <v>237.03399999999965</v>
      </c>
      <c r="R2" s="9">
        <f>N2+P2</f>
        <v>3752.2560000000003</v>
      </c>
      <c r="S2" s="9">
        <f>N2+Q2</f>
        <v>3829.1869999999999</v>
      </c>
      <c r="T2" t="s">
        <v>5</v>
      </c>
    </row>
    <row r="3" spans="1:21" x14ac:dyDescent="0.25">
      <c r="A3" s="3">
        <v>560</v>
      </c>
      <c r="B3" s="1">
        <v>3554.9459999999999</v>
      </c>
      <c r="C3" s="1">
        <v>3670.43</v>
      </c>
      <c r="D3" s="1">
        <v>3655.212</v>
      </c>
      <c r="E3" s="1">
        <v>3640.652</v>
      </c>
      <c r="F3" s="1">
        <v>3477.6779999999999</v>
      </c>
      <c r="G3" s="1">
        <v>3595.0880000000002</v>
      </c>
      <c r="H3" s="1">
        <v>3629.9360000000001</v>
      </c>
      <c r="I3" s="1">
        <v>3834.3850000000002</v>
      </c>
      <c r="J3" s="1">
        <v>3746.7130000000002</v>
      </c>
      <c r="K3" s="1">
        <v>3541.875</v>
      </c>
      <c r="L3" s="2">
        <f t="shared" ref="L3:L48" si="0">MIN(B3:K3)</f>
        <v>3477.6779999999999</v>
      </c>
      <c r="M3" s="2">
        <f t="shared" ref="M3:M48" si="1">MAX(B3:K3)</f>
        <v>3834.3850000000002</v>
      </c>
      <c r="N3" s="2">
        <f t="shared" ref="N3:N48" si="2">MEDIAN(B3:K3)</f>
        <v>3635.2939999999999</v>
      </c>
      <c r="O3" s="2">
        <f t="shared" ref="O3:O48" si="3">AVERAGE(B3:K3)</f>
        <v>3634.6914999999999</v>
      </c>
      <c r="P3" s="1">
        <f t="shared" ref="P3:P12" si="4">N3-L3</f>
        <v>157.61599999999999</v>
      </c>
      <c r="Q3" s="1">
        <f t="shared" ref="Q3:Q12" si="5">M3-N3</f>
        <v>199.09100000000035</v>
      </c>
      <c r="R3" s="9">
        <f t="shared" ref="R3:R12" si="6">N3+P3</f>
        <v>3792.91</v>
      </c>
      <c r="S3" s="9">
        <f t="shared" ref="S3:S12" si="7">N3+Q3</f>
        <v>3834.3850000000002</v>
      </c>
    </row>
    <row r="4" spans="1:21" x14ac:dyDescent="0.25">
      <c r="A4" s="3">
        <v>665</v>
      </c>
      <c r="B4" s="1">
        <v>3474.3240000000001</v>
      </c>
      <c r="C4" s="1">
        <v>3561.1529999999998</v>
      </c>
      <c r="D4" s="1">
        <v>3584.174</v>
      </c>
      <c r="E4" s="1">
        <v>3574.47</v>
      </c>
      <c r="F4" s="1">
        <v>3428.83</v>
      </c>
      <c r="G4" s="1">
        <v>3549.4090000000001</v>
      </c>
      <c r="H4" s="1">
        <v>3569.4960000000001</v>
      </c>
      <c r="I4" s="1">
        <v>3701.7660000000001</v>
      </c>
      <c r="J4" s="1">
        <v>3610.8290000000002</v>
      </c>
      <c r="K4" s="1">
        <v>3445.43</v>
      </c>
      <c r="L4" s="2">
        <f t="shared" si="0"/>
        <v>3428.83</v>
      </c>
      <c r="M4" s="2">
        <f t="shared" si="1"/>
        <v>3701.7660000000001</v>
      </c>
      <c r="N4" s="2">
        <f t="shared" si="2"/>
        <v>3565.3244999999997</v>
      </c>
      <c r="O4" s="2">
        <f t="shared" si="3"/>
        <v>3549.9881</v>
      </c>
      <c r="P4" s="1">
        <f t="shared" si="4"/>
        <v>136.49449999999979</v>
      </c>
      <c r="Q4" s="1">
        <f t="shared" si="5"/>
        <v>136.44150000000036</v>
      </c>
      <c r="R4" s="9">
        <f t="shared" si="6"/>
        <v>3701.8189999999995</v>
      </c>
      <c r="S4" s="9">
        <f t="shared" si="7"/>
        <v>3701.7660000000001</v>
      </c>
    </row>
    <row r="5" spans="1:21" x14ac:dyDescent="0.25">
      <c r="A5" s="3">
        <v>705</v>
      </c>
      <c r="B5" s="1">
        <v>3864.2440000000001</v>
      </c>
      <c r="C5" s="1">
        <v>3928.74</v>
      </c>
      <c r="D5" s="1">
        <v>3934.2719999999999</v>
      </c>
      <c r="E5" s="1">
        <v>3930.2719999999999</v>
      </c>
      <c r="F5" s="1">
        <v>3763.1619999999998</v>
      </c>
      <c r="G5" s="1">
        <v>3923.645</v>
      </c>
      <c r="H5" s="1">
        <v>3946.7020000000002</v>
      </c>
      <c r="I5" s="1">
        <v>4069.364</v>
      </c>
      <c r="J5" s="1">
        <v>3977.7469999999998</v>
      </c>
      <c r="K5" s="1">
        <v>3850.6280000000002</v>
      </c>
      <c r="L5" s="2">
        <f t="shared" si="0"/>
        <v>3763.1619999999998</v>
      </c>
      <c r="M5" s="2">
        <f t="shared" si="1"/>
        <v>4069.364</v>
      </c>
      <c r="N5" s="2">
        <f t="shared" si="2"/>
        <v>3929.5059999999999</v>
      </c>
      <c r="O5" s="2">
        <f t="shared" si="3"/>
        <v>3918.8776000000007</v>
      </c>
      <c r="P5" s="1">
        <f t="shared" si="4"/>
        <v>166.34400000000005</v>
      </c>
      <c r="Q5" s="1">
        <f t="shared" si="5"/>
        <v>139.85800000000017</v>
      </c>
      <c r="R5" s="9">
        <f t="shared" si="6"/>
        <v>4095.85</v>
      </c>
      <c r="S5" s="9">
        <f t="shared" si="7"/>
        <v>4069.364</v>
      </c>
    </row>
    <row r="6" spans="1:21" x14ac:dyDescent="0.25">
      <c r="A6" s="3">
        <v>740</v>
      </c>
      <c r="B6" s="1">
        <v>4620.3909999999996</v>
      </c>
      <c r="C6" s="1">
        <v>4644.4560000000001</v>
      </c>
      <c r="D6" s="1">
        <v>4592.4679999999998</v>
      </c>
      <c r="E6" s="1">
        <v>4583.5720000000001</v>
      </c>
      <c r="F6" s="1">
        <v>4403.04</v>
      </c>
      <c r="G6" s="1">
        <v>4639.7510000000002</v>
      </c>
      <c r="H6" s="1">
        <v>4644.1279999999997</v>
      </c>
      <c r="I6" s="1">
        <v>4713.9960000000001</v>
      </c>
      <c r="J6" s="1">
        <v>4625.6819999999998</v>
      </c>
      <c r="K6" s="1">
        <v>4598.4129999999996</v>
      </c>
      <c r="L6" s="2">
        <f t="shared" si="0"/>
        <v>4403.04</v>
      </c>
      <c r="M6" s="2">
        <f t="shared" si="1"/>
        <v>4713.9960000000001</v>
      </c>
      <c r="N6" s="2">
        <f t="shared" si="2"/>
        <v>4623.0365000000002</v>
      </c>
      <c r="O6" s="2">
        <f t="shared" si="3"/>
        <v>4606.5897000000004</v>
      </c>
      <c r="P6" s="1">
        <f t="shared" si="4"/>
        <v>219.9965000000002</v>
      </c>
      <c r="Q6" s="1">
        <f t="shared" si="5"/>
        <v>90.959499999999935</v>
      </c>
      <c r="R6" s="9">
        <f t="shared" si="6"/>
        <v>4843.0330000000004</v>
      </c>
      <c r="S6" s="9">
        <f t="shared" si="7"/>
        <v>4713.9960000000001</v>
      </c>
    </row>
    <row r="7" spans="1:21" x14ac:dyDescent="0.25">
      <c r="A7" s="3">
        <v>783</v>
      </c>
      <c r="B7" s="1">
        <v>4976.6819999999998</v>
      </c>
      <c r="C7" s="1">
        <v>5011.4319999999998</v>
      </c>
      <c r="D7" s="1">
        <v>4957.66</v>
      </c>
      <c r="E7" s="1">
        <v>4948.9210000000003</v>
      </c>
      <c r="F7" s="1">
        <v>4763.5029999999997</v>
      </c>
      <c r="G7" s="1">
        <v>5036.4409999999998</v>
      </c>
      <c r="H7" s="1">
        <v>4993.3149999999996</v>
      </c>
      <c r="I7" s="1">
        <v>4987.1729999999998</v>
      </c>
      <c r="J7" s="1">
        <v>4901.1779999999999</v>
      </c>
      <c r="K7" s="1">
        <v>4907.049</v>
      </c>
      <c r="L7" s="2">
        <f t="shared" si="0"/>
        <v>4763.5029999999997</v>
      </c>
      <c r="M7" s="2">
        <f t="shared" si="1"/>
        <v>5036.4409999999998</v>
      </c>
      <c r="N7" s="2">
        <f t="shared" si="2"/>
        <v>4967.1710000000003</v>
      </c>
      <c r="O7" s="2">
        <f t="shared" si="3"/>
        <v>4948.3353999999999</v>
      </c>
      <c r="P7" s="1">
        <f t="shared" si="4"/>
        <v>203.66800000000057</v>
      </c>
      <c r="Q7" s="1">
        <f t="shared" si="5"/>
        <v>69.269999999999527</v>
      </c>
      <c r="R7" s="9">
        <f t="shared" si="6"/>
        <v>5170.8390000000009</v>
      </c>
      <c r="S7" s="9">
        <f t="shared" si="7"/>
        <v>5036.4409999999998</v>
      </c>
    </row>
    <row r="8" spans="1:21" x14ac:dyDescent="0.25">
      <c r="A8" s="3">
        <v>842</v>
      </c>
      <c r="B8" s="1">
        <v>4884.9070000000002</v>
      </c>
      <c r="C8" s="1">
        <v>4997.4930000000004</v>
      </c>
      <c r="D8" s="1">
        <v>4938.6279999999997</v>
      </c>
      <c r="E8" s="1">
        <v>4938.7</v>
      </c>
      <c r="F8" s="1">
        <v>4730.8549999999996</v>
      </c>
      <c r="G8" s="1">
        <v>5012.433</v>
      </c>
      <c r="H8" s="1">
        <v>4947.9009999999998</v>
      </c>
      <c r="I8" s="1">
        <v>4969.12</v>
      </c>
      <c r="J8" s="1">
        <v>4867.0429999999997</v>
      </c>
      <c r="K8" s="1">
        <v>4823.5590000000002</v>
      </c>
      <c r="L8" s="2">
        <f t="shared" si="0"/>
        <v>4730.8549999999996</v>
      </c>
      <c r="M8" s="2">
        <f t="shared" si="1"/>
        <v>5012.433</v>
      </c>
      <c r="N8" s="2">
        <f t="shared" si="2"/>
        <v>4938.6639999999998</v>
      </c>
      <c r="O8" s="2">
        <f t="shared" si="3"/>
        <v>4911.0639000000001</v>
      </c>
      <c r="P8" s="1">
        <f t="shared" si="4"/>
        <v>207.8090000000002</v>
      </c>
      <c r="Q8" s="1">
        <f t="shared" si="5"/>
        <v>73.769000000000233</v>
      </c>
      <c r="R8" s="9">
        <f t="shared" si="6"/>
        <v>5146.473</v>
      </c>
      <c r="S8" s="9">
        <f t="shared" si="7"/>
        <v>5012.433</v>
      </c>
    </row>
    <row r="9" spans="1:21" x14ac:dyDescent="0.25">
      <c r="A9" s="3">
        <v>865</v>
      </c>
      <c r="B9" s="1">
        <v>5059.6369999999997</v>
      </c>
      <c r="C9" s="1">
        <v>5135.473</v>
      </c>
      <c r="D9" s="1">
        <v>5091.9870000000001</v>
      </c>
      <c r="E9" s="1">
        <v>5097.4480000000003</v>
      </c>
      <c r="F9" s="1">
        <v>4885.7139999999999</v>
      </c>
      <c r="G9" s="1">
        <v>5219.9620000000004</v>
      </c>
      <c r="H9" s="1">
        <v>5117.3549999999996</v>
      </c>
      <c r="I9" s="1">
        <v>5100.5190000000002</v>
      </c>
      <c r="J9" s="1">
        <v>5027.6949999999997</v>
      </c>
      <c r="K9" s="1">
        <v>5022.0029999999997</v>
      </c>
      <c r="L9" s="2">
        <f t="shared" si="0"/>
        <v>4885.7139999999999</v>
      </c>
      <c r="M9" s="2">
        <f t="shared" si="1"/>
        <v>5219.9620000000004</v>
      </c>
      <c r="N9" s="2">
        <f t="shared" si="2"/>
        <v>5094.7175000000007</v>
      </c>
      <c r="O9" s="2">
        <f t="shared" si="3"/>
        <v>5075.7793000000001</v>
      </c>
      <c r="P9" s="1">
        <f t="shared" si="4"/>
        <v>209.00350000000071</v>
      </c>
      <c r="Q9" s="1">
        <f t="shared" si="5"/>
        <v>125.24449999999979</v>
      </c>
      <c r="R9" s="9">
        <f t="shared" si="6"/>
        <v>5303.7210000000014</v>
      </c>
      <c r="S9" s="9">
        <f t="shared" si="7"/>
        <v>5219.9620000000004</v>
      </c>
    </row>
    <row r="10" spans="1:21" x14ac:dyDescent="0.25">
      <c r="A10" s="3">
        <v>945</v>
      </c>
      <c r="B10" s="1">
        <v>6198.7330000000002</v>
      </c>
      <c r="C10" s="1">
        <v>6313.6369999999997</v>
      </c>
      <c r="D10" s="1">
        <v>6313.473</v>
      </c>
      <c r="E10" s="1">
        <v>6345.6229999999996</v>
      </c>
      <c r="F10" s="1">
        <v>6132.8329999999996</v>
      </c>
      <c r="G10" s="1">
        <v>6469.5789999999997</v>
      </c>
      <c r="H10" s="1">
        <v>6402.7259999999997</v>
      </c>
      <c r="I10" s="1">
        <v>6515.4690000000001</v>
      </c>
      <c r="J10" s="1">
        <v>6632.9449999999997</v>
      </c>
      <c r="K10" s="1">
        <v>6397.9059999999999</v>
      </c>
      <c r="L10" s="2">
        <f t="shared" si="0"/>
        <v>6132.8329999999996</v>
      </c>
      <c r="M10" s="2">
        <f t="shared" si="1"/>
        <v>6632.9449999999997</v>
      </c>
      <c r="N10" s="2">
        <f t="shared" si="2"/>
        <v>6371.7644999999993</v>
      </c>
      <c r="O10" s="2">
        <f t="shared" si="3"/>
        <v>6372.2924000000003</v>
      </c>
      <c r="P10" s="1">
        <f t="shared" si="4"/>
        <v>238.93149999999969</v>
      </c>
      <c r="Q10" s="1">
        <f t="shared" si="5"/>
        <v>261.18050000000039</v>
      </c>
      <c r="R10" s="9">
        <f t="shared" si="6"/>
        <v>6610.695999999999</v>
      </c>
      <c r="S10" s="9">
        <f t="shared" si="7"/>
        <v>6632.9449999999997</v>
      </c>
    </row>
    <row r="11" spans="1:21" x14ac:dyDescent="0.25">
      <c r="A11" s="4">
        <v>1615</v>
      </c>
      <c r="B11" s="1">
        <v>3676.9259999999999</v>
      </c>
      <c r="C11" s="1">
        <v>3662.3240000000001</v>
      </c>
      <c r="D11" s="1">
        <v>3740.4650000000001</v>
      </c>
      <c r="E11" s="1">
        <v>3803.3829999999998</v>
      </c>
      <c r="F11" s="1">
        <v>3560.8049999999998</v>
      </c>
      <c r="G11" s="1">
        <v>3897.0419999999999</v>
      </c>
      <c r="H11" s="1">
        <v>3827.6120000000001</v>
      </c>
      <c r="I11" s="1">
        <v>3598.6089999999999</v>
      </c>
      <c r="J11" s="1">
        <v>3594.95</v>
      </c>
      <c r="K11" s="1">
        <v>3537.241</v>
      </c>
      <c r="L11" s="2">
        <f t="shared" si="0"/>
        <v>3537.241</v>
      </c>
      <c r="M11" s="2">
        <f t="shared" si="1"/>
        <v>3897.0419999999999</v>
      </c>
      <c r="N11" s="2">
        <f t="shared" si="2"/>
        <v>3669.625</v>
      </c>
      <c r="O11" s="2">
        <f t="shared" si="3"/>
        <v>3689.9357000000005</v>
      </c>
      <c r="P11" s="1">
        <f t="shared" si="4"/>
        <v>132.38400000000001</v>
      </c>
      <c r="Q11" s="1">
        <f t="shared" si="5"/>
        <v>227.41699999999992</v>
      </c>
      <c r="R11" s="9">
        <f t="shared" si="6"/>
        <v>3802.009</v>
      </c>
      <c r="S11" s="9">
        <f t="shared" si="7"/>
        <v>3897.0419999999999</v>
      </c>
    </row>
    <row r="12" spans="1:21" x14ac:dyDescent="0.25">
      <c r="A12" s="4">
        <v>2190</v>
      </c>
      <c r="B12" s="1">
        <v>2915.0079999999998</v>
      </c>
      <c r="C12" s="1">
        <v>2959.7089999999998</v>
      </c>
      <c r="D12" s="1">
        <v>3016.8910000000001</v>
      </c>
      <c r="E12" s="1">
        <v>3067.1779999999999</v>
      </c>
      <c r="F12" s="1">
        <v>2927.7849999999999</v>
      </c>
      <c r="G12" s="1">
        <v>3100.326</v>
      </c>
      <c r="H12" s="1">
        <v>3070.502</v>
      </c>
      <c r="I12" s="1">
        <v>2892</v>
      </c>
      <c r="J12" s="1">
        <v>2930.9259999999999</v>
      </c>
      <c r="K12" s="1">
        <v>2864.8780000000002</v>
      </c>
      <c r="L12" s="2">
        <f t="shared" si="0"/>
        <v>2864.8780000000002</v>
      </c>
      <c r="M12" s="2">
        <f t="shared" si="1"/>
        <v>3100.326</v>
      </c>
      <c r="N12" s="2">
        <f t="shared" si="2"/>
        <v>2945.3175000000001</v>
      </c>
      <c r="O12" s="2">
        <f t="shared" si="3"/>
        <v>2974.5203000000001</v>
      </c>
      <c r="P12" s="1">
        <f t="shared" si="4"/>
        <v>80.439499999999953</v>
      </c>
      <c r="Q12" s="1">
        <f t="shared" si="5"/>
        <v>155.00849999999991</v>
      </c>
      <c r="R12" s="9">
        <f t="shared" si="6"/>
        <v>3025.7570000000001</v>
      </c>
      <c r="S12" s="9">
        <f t="shared" si="7"/>
        <v>3100.326</v>
      </c>
    </row>
    <row r="13" spans="1:21" ht="29.25" customHeight="1" x14ac:dyDescent="0.25">
      <c r="A13" s="6" t="s">
        <v>6</v>
      </c>
      <c r="B13" s="5">
        <v>1</v>
      </c>
      <c r="C13" s="5">
        <v>2</v>
      </c>
      <c r="D13" s="5">
        <v>3</v>
      </c>
      <c r="E13" s="5">
        <v>4</v>
      </c>
      <c r="F13" s="5">
        <v>5</v>
      </c>
      <c r="G13" s="5">
        <v>6</v>
      </c>
      <c r="H13" s="5">
        <v>7</v>
      </c>
      <c r="I13" s="5">
        <v>8</v>
      </c>
      <c r="J13" s="5">
        <v>9</v>
      </c>
      <c r="K13" s="5">
        <v>10</v>
      </c>
      <c r="L13" s="5" t="s">
        <v>0</v>
      </c>
      <c r="M13" s="5" t="s">
        <v>1</v>
      </c>
      <c r="N13" s="5" t="s">
        <v>2</v>
      </c>
      <c r="O13" s="5" t="s">
        <v>3</v>
      </c>
      <c r="P13" s="5" t="s">
        <v>10</v>
      </c>
      <c r="Q13" s="5" t="s">
        <v>11</v>
      </c>
      <c r="R13" s="8" t="s">
        <v>12</v>
      </c>
      <c r="S13" s="8" t="s">
        <v>13</v>
      </c>
      <c r="T13" s="5" t="s">
        <v>4</v>
      </c>
      <c r="U13" s="7" t="s">
        <v>8</v>
      </c>
    </row>
    <row r="14" spans="1:21" x14ac:dyDescent="0.25">
      <c r="A14" s="3">
        <v>490</v>
      </c>
      <c r="B14" s="1">
        <v>3309.3780000000002</v>
      </c>
      <c r="C14" s="1">
        <v>3271.2759999999998</v>
      </c>
      <c r="D14" s="1">
        <v>3032.36</v>
      </c>
      <c r="E14" s="1">
        <v>3153.0590000000002</v>
      </c>
      <c r="F14" s="1">
        <v>2964.6410000000001</v>
      </c>
      <c r="G14" s="1">
        <v>2993.3820000000001</v>
      </c>
      <c r="H14" s="1">
        <v>3053.1909999999998</v>
      </c>
      <c r="I14" s="1">
        <v>3075.6990000000001</v>
      </c>
      <c r="J14" s="1">
        <v>3044.38</v>
      </c>
      <c r="K14" s="1">
        <v>3056.4810000000002</v>
      </c>
      <c r="L14" s="2">
        <f t="shared" si="0"/>
        <v>2964.6410000000001</v>
      </c>
      <c r="M14" s="2">
        <f t="shared" si="1"/>
        <v>3309.3780000000002</v>
      </c>
      <c r="N14" s="2">
        <f t="shared" si="2"/>
        <v>3054.8360000000002</v>
      </c>
      <c r="O14" s="2">
        <f t="shared" si="3"/>
        <v>3095.3847000000001</v>
      </c>
      <c r="P14" s="1">
        <f>N14-L14</f>
        <v>90.195000000000164</v>
      </c>
      <c r="Q14" s="1">
        <f>M14-N14</f>
        <v>254.54199999999992</v>
      </c>
      <c r="R14" s="9">
        <f>N14+P14</f>
        <v>3145.0310000000004</v>
      </c>
      <c r="S14" s="9">
        <f>N14+Q14</f>
        <v>3309.3780000000002</v>
      </c>
      <c r="T14" t="s">
        <v>9</v>
      </c>
    </row>
    <row r="15" spans="1:21" x14ac:dyDescent="0.25">
      <c r="A15" s="3">
        <v>560</v>
      </c>
      <c r="B15" s="1">
        <v>3390.261</v>
      </c>
      <c r="C15" s="1">
        <v>3401.0479999999998</v>
      </c>
      <c r="D15" s="1">
        <v>3099.7919999999999</v>
      </c>
      <c r="E15" s="1">
        <v>3530.9760000000001</v>
      </c>
      <c r="F15" s="1">
        <v>3047.7939999999999</v>
      </c>
      <c r="G15" s="1">
        <v>3069.72</v>
      </c>
      <c r="H15" s="1">
        <v>3135.4009999999998</v>
      </c>
      <c r="I15" s="1">
        <v>3209.4839999999999</v>
      </c>
      <c r="J15" s="1">
        <v>3155.3739999999998</v>
      </c>
      <c r="K15" s="1">
        <v>3140.2</v>
      </c>
      <c r="L15" s="2">
        <f t="shared" si="0"/>
        <v>3047.7939999999999</v>
      </c>
      <c r="M15" s="2">
        <f t="shared" si="1"/>
        <v>3530.9760000000001</v>
      </c>
      <c r="N15" s="2">
        <f t="shared" si="2"/>
        <v>3147.7869999999998</v>
      </c>
      <c r="O15" s="2">
        <f t="shared" si="3"/>
        <v>3218.0050000000001</v>
      </c>
      <c r="P15" s="1">
        <f t="shared" ref="P15:P48" si="8">N15-L15</f>
        <v>99.992999999999938</v>
      </c>
      <c r="Q15" s="1">
        <f t="shared" ref="Q15:Q48" si="9">M15-N15</f>
        <v>383.18900000000031</v>
      </c>
      <c r="R15" s="9">
        <f t="shared" ref="R15:R48" si="10">N15+P15</f>
        <v>3247.7799999999997</v>
      </c>
      <c r="S15" s="9">
        <f t="shared" ref="S15:S48" si="11">N15+Q15</f>
        <v>3530.9760000000001</v>
      </c>
    </row>
    <row r="16" spans="1:21" x14ac:dyDescent="0.25">
      <c r="A16" s="3">
        <v>665</v>
      </c>
      <c r="B16" s="1">
        <v>3285.6080000000002</v>
      </c>
      <c r="C16" s="1">
        <v>3319.1640000000002</v>
      </c>
      <c r="D16" s="1">
        <v>3055.48</v>
      </c>
      <c r="E16" s="1">
        <v>3418.2660000000001</v>
      </c>
      <c r="F16" s="1">
        <v>3358.7069999999999</v>
      </c>
      <c r="G16" s="1">
        <v>3403.0839999999998</v>
      </c>
      <c r="H16" s="1">
        <v>3471.15</v>
      </c>
      <c r="I16" s="1">
        <v>3452.453</v>
      </c>
      <c r="J16" s="1">
        <v>3384.7359999999999</v>
      </c>
      <c r="K16" s="1">
        <v>3438.9630000000002</v>
      </c>
      <c r="L16" s="2">
        <f t="shared" si="0"/>
        <v>3055.48</v>
      </c>
      <c r="M16" s="2">
        <f t="shared" si="1"/>
        <v>3471.15</v>
      </c>
      <c r="N16" s="2">
        <f t="shared" si="2"/>
        <v>3393.91</v>
      </c>
      <c r="O16" s="2">
        <f t="shared" si="3"/>
        <v>3358.7611000000006</v>
      </c>
      <c r="P16" s="1">
        <f t="shared" si="8"/>
        <v>338.42999999999984</v>
      </c>
      <c r="Q16" s="1">
        <f t="shared" si="9"/>
        <v>77.240000000000236</v>
      </c>
      <c r="R16" s="9">
        <f t="shared" si="10"/>
        <v>3732.3399999999997</v>
      </c>
      <c r="S16" s="9">
        <f t="shared" si="11"/>
        <v>3471.15</v>
      </c>
    </row>
    <row r="17" spans="1:21" x14ac:dyDescent="0.25">
      <c r="A17" s="3">
        <v>705</v>
      </c>
      <c r="B17" s="1">
        <v>3697.1979999999999</v>
      </c>
      <c r="C17" s="1">
        <v>3714.7860000000001</v>
      </c>
      <c r="D17" s="1">
        <v>3393.5680000000002</v>
      </c>
      <c r="E17" s="1">
        <v>3726.5990000000002</v>
      </c>
      <c r="F17" s="1">
        <v>3638.3690000000001</v>
      </c>
      <c r="G17" s="1">
        <v>3684.386</v>
      </c>
      <c r="H17" s="1">
        <v>3744.002</v>
      </c>
      <c r="I17" s="1">
        <v>3781.1950000000002</v>
      </c>
      <c r="J17" s="1">
        <v>3755.4989999999998</v>
      </c>
      <c r="K17" s="1">
        <v>3831.5120000000002</v>
      </c>
      <c r="L17" s="2">
        <f t="shared" si="0"/>
        <v>3393.5680000000002</v>
      </c>
      <c r="M17" s="2">
        <f t="shared" si="1"/>
        <v>3831.5120000000002</v>
      </c>
      <c r="N17" s="2">
        <f t="shared" si="2"/>
        <v>3720.6925000000001</v>
      </c>
      <c r="O17" s="2">
        <f t="shared" si="3"/>
        <v>3696.7114000000001</v>
      </c>
      <c r="P17" s="1">
        <f t="shared" si="8"/>
        <v>327.1244999999999</v>
      </c>
      <c r="Q17" s="1">
        <f t="shared" si="9"/>
        <v>110.81950000000006</v>
      </c>
      <c r="R17" s="9">
        <f t="shared" si="10"/>
        <v>4047.817</v>
      </c>
      <c r="S17" s="9">
        <f t="shared" si="11"/>
        <v>3831.5120000000002</v>
      </c>
    </row>
    <row r="18" spans="1:21" x14ac:dyDescent="0.25">
      <c r="A18" s="3">
        <v>740</v>
      </c>
      <c r="B18" s="1">
        <v>4528.2910000000002</v>
      </c>
      <c r="C18" s="1">
        <v>4429.5829999999996</v>
      </c>
      <c r="D18" s="1">
        <v>4099.5110000000004</v>
      </c>
      <c r="E18" s="1">
        <v>4436.9170000000004</v>
      </c>
      <c r="F18" s="1">
        <v>4213.3310000000001</v>
      </c>
      <c r="G18" s="1">
        <v>4312.2449999999999</v>
      </c>
      <c r="H18" s="1">
        <v>4352.5929999999998</v>
      </c>
      <c r="I18" s="1">
        <v>4417.4870000000001</v>
      </c>
      <c r="J18" s="1">
        <v>4678.1899999999996</v>
      </c>
      <c r="K18" s="1">
        <v>4565.1120000000001</v>
      </c>
      <c r="L18" s="2">
        <f t="shared" si="0"/>
        <v>4099.5110000000004</v>
      </c>
      <c r="M18" s="2">
        <f t="shared" si="1"/>
        <v>4678.1899999999996</v>
      </c>
      <c r="N18" s="2">
        <f t="shared" si="2"/>
        <v>4423.5349999999999</v>
      </c>
      <c r="O18" s="2">
        <f t="shared" si="3"/>
        <v>4403.326</v>
      </c>
      <c r="P18" s="1">
        <f t="shared" si="8"/>
        <v>324.02399999999943</v>
      </c>
      <c r="Q18" s="1">
        <f t="shared" si="9"/>
        <v>254.65499999999975</v>
      </c>
      <c r="R18" s="9">
        <f t="shared" si="10"/>
        <v>4747.5589999999993</v>
      </c>
      <c r="S18" s="9">
        <f t="shared" si="11"/>
        <v>4678.1899999999996</v>
      </c>
    </row>
    <row r="19" spans="1:21" x14ac:dyDescent="0.25">
      <c r="A19" s="3">
        <v>783</v>
      </c>
      <c r="B19" s="1">
        <v>4894.3450000000003</v>
      </c>
      <c r="C19" s="1">
        <v>4716.6790000000001</v>
      </c>
      <c r="D19" s="1">
        <v>4416.7030000000004</v>
      </c>
      <c r="E19" s="1">
        <v>4783.3029999999999</v>
      </c>
      <c r="F19" s="1">
        <v>4489.0839999999998</v>
      </c>
      <c r="G19" s="1">
        <v>4598.4219999999996</v>
      </c>
      <c r="H19" s="1">
        <v>4644.6409999999996</v>
      </c>
      <c r="I19" s="1">
        <v>4693.0590000000002</v>
      </c>
      <c r="J19" s="1">
        <v>5051.1610000000001</v>
      </c>
      <c r="K19" s="1">
        <v>4817.7979999999998</v>
      </c>
      <c r="L19" s="2">
        <f t="shared" si="0"/>
        <v>4416.7030000000004</v>
      </c>
      <c r="M19" s="2">
        <f t="shared" si="1"/>
        <v>5051.1610000000001</v>
      </c>
      <c r="N19" s="2">
        <f t="shared" si="2"/>
        <v>4704.8690000000006</v>
      </c>
      <c r="O19" s="2">
        <f t="shared" si="3"/>
        <v>4710.5195000000003</v>
      </c>
      <c r="P19" s="1">
        <f t="shared" si="8"/>
        <v>288.16600000000017</v>
      </c>
      <c r="Q19" s="1">
        <f t="shared" si="9"/>
        <v>346.29199999999946</v>
      </c>
      <c r="R19" s="9">
        <f t="shared" si="10"/>
        <v>4993.0350000000008</v>
      </c>
      <c r="S19" s="9">
        <f t="shared" si="11"/>
        <v>5051.1610000000001</v>
      </c>
    </row>
    <row r="20" spans="1:21" x14ac:dyDescent="0.25">
      <c r="A20" s="3">
        <v>842</v>
      </c>
      <c r="B20" s="1">
        <v>4853.1850000000004</v>
      </c>
      <c r="C20" s="1">
        <v>4697.1480000000001</v>
      </c>
      <c r="D20" s="1">
        <v>4353.7950000000001</v>
      </c>
      <c r="E20" s="1">
        <v>4768.3379999999997</v>
      </c>
      <c r="F20" s="1">
        <v>4423.174</v>
      </c>
      <c r="G20" s="1">
        <v>4511.5219999999999</v>
      </c>
      <c r="H20" s="1">
        <v>4572.9579999999996</v>
      </c>
      <c r="I20" s="1">
        <v>4629.5680000000002</v>
      </c>
      <c r="J20" s="1">
        <v>5095.1189999999997</v>
      </c>
      <c r="K20" s="1">
        <v>4830.1459999999997</v>
      </c>
      <c r="L20" s="2">
        <f t="shared" si="0"/>
        <v>4353.7950000000001</v>
      </c>
      <c r="M20" s="2">
        <f t="shared" si="1"/>
        <v>5095.1189999999997</v>
      </c>
      <c r="N20" s="2">
        <f t="shared" si="2"/>
        <v>4663.3580000000002</v>
      </c>
      <c r="O20" s="2">
        <f t="shared" si="3"/>
        <v>4673.4953000000005</v>
      </c>
      <c r="P20" s="1">
        <f t="shared" si="8"/>
        <v>309.5630000000001</v>
      </c>
      <c r="Q20" s="1">
        <f t="shared" si="9"/>
        <v>431.76099999999951</v>
      </c>
      <c r="R20" s="9">
        <f t="shared" si="10"/>
        <v>4972.9210000000003</v>
      </c>
      <c r="S20" s="9">
        <f t="shared" si="11"/>
        <v>5095.1189999999997</v>
      </c>
    </row>
    <row r="21" spans="1:21" x14ac:dyDescent="0.25">
      <c r="A21" s="3">
        <v>865</v>
      </c>
      <c r="B21" s="1">
        <v>5049.433</v>
      </c>
      <c r="C21" s="1">
        <v>4849.0990000000002</v>
      </c>
      <c r="D21" s="1">
        <v>4517.3720000000003</v>
      </c>
      <c r="E21" s="1">
        <v>4873.7749999999996</v>
      </c>
      <c r="F21" s="1">
        <v>4585.951</v>
      </c>
      <c r="G21" s="1">
        <v>4690.8850000000002</v>
      </c>
      <c r="H21" s="1">
        <v>4740.6189999999997</v>
      </c>
      <c r="I21" s="1">
        <v>4807.1189999999997</v>
      </c>
      <c r="J21" s="1">
        <v>5133.1080000000002</v>
      </c>
      <c r="K21" s="1">
        <v>4933.6909999999998</v>
      </c>
      <c r="L21" s="2">
        <f t="shared" si="0"/>
        <v>4517.3720000000003</v>
      </c>
      <c r="M21" s="2">
        <f t="shared" si="1"/>
        <v>5133.1080000000002</v>
      </c>
      <c r="N21" s="2">
        <f t="shared" si="2"/>
        <v>4828.1090000000004</v>
      </c>
      <c r="O21" s="2">
        <f t="shared" si="3"/>
        <v>4818.1052</v>
      </c>
      <c r="P21" s="1">
        <f t="shared" si="8"/>
        <v>310.73700000000008</v>
      </c>
      <c r="Q21" s="1">
        <f t="shared" si="9"/>
        <v>304.9989999999998</v>
      </c>
      <c r="R21" s="9">
        <f t="shared" si="10"/>
        <v>5138.8460000000005</v>
      </c>
      <c r="S21" s="9">
        <f t="shared" si="11"/>
        <v>5133.1080000000002</v>
      </c>
    </row>
    <row r="22" spans="1:21" x14ac:dyDescent="0.25">
      <c r="A22" s="3">
        <v>945</v>
      </c>
      <c r="B22" s="1">
        <v>5719.28</v>
      </c>
      <c r="C22" s="1">
        <v>5535.732</v>
      </c>
      <c r="D22" s="1">
        <v>5224.7849999999999</v>
      </c>
      <c r="E22" s="1">
        <v>5710.7039999999997</v>
      </c>
      <c r="F22" s="1">
        <v>5285.74</v>
      </c>
      <c r="G22" s="1">
        <v>5397.29</v>
      </c>
      <c r="H22" s="1">
        <v>5385.8410000000003</v>
      </c>
      <c r="I22" s="1">
        <v>5572.7430000000004</v>
      </c>
      <c r="J22" s="1">
        <v>5649.8149999999996</v>
      </c>
      <c r="K22" s="1">
        <v>5623.1419999999998</v>
      </c>
      <c r="L22" s="2">
        <f t="shared" si="0"/>
        <v>5224.7849999999999</v>
      </c>
      <c r="M22" s="2">
        <f t="shared" si="1"/>
        <v>5719.28</v>
      </c>
      <c r="N22" s="2">
        <f t="shared" si="2"/>
        <v>5554.2375000000002</v>
      </c>
      <c r="O22" s="2">
        <f t="shared" si="3"/>
        <v>5510.5072</v>
      </c>
      <c r="P22" s="1">
        <f t="shared" si="8"/>
        <v>329.45250000000033</v>
      </c>
      <c r="Q22" s="1">
        <f t="shared" si="9"/>
        <v>165.04249999999956</v>
      </c>
      <c r="R22" s="9">
        <f t="shared" si="10"/>
        <v>5883.6900000000005</v>
      </c>
      <c r="S22" s="9">
        <f t="shared" si="11"/>
        <v>5719.28</v>
      </c>
    </row>
    <row r="23" spans="1:21" x14ac:dyDescent="0.25">
      <c r="A23" s="4">
        <v>1615</v>
      </c>
      <c r="B23" s="1">
        <v>3641.261</v>
      </c>
      <c r="C23" s="1">
        <v>3503.5839999999998</v>
      </c>
      <c r="D23" s="1">
        <v>3256.6439999999998</v>
      </c>
      <c r="E23" s="1">
        <v>3556.4989999999998</v>
      </c>
      <c r="F23" s="1">
        <v>3272.607</v>
      </c>
      <c r="G23" s="1">
        <v>3378.2950000000001</v>
      </c>
      <c r="H23" s="1">
        <v>3392.078</v>
      </c>
      <c r="I23" s="1">
        <v>3514.248</v>
      </c>
      <c r="J23" s="1">
        <v>3453.0279999999998</v>
      </c>
      <c r="K23" s="1">
        <v>3634.1610000000001</v>
      </c>
      <c r="L23" s="2">
        <f t="shared" si="0"/>
        <v>3256.6439999999998</v>
      </c>
      <c r="M23" s="2">
        <f t="shared" si="1"/>
        <v>3641.261</v>
      </c>
      <c r="N23" s="2">
        <f t="shared" si="2"/>
        <v>3478.3059999999996</v>
      </c>
      <c r="O23" s="2">
        <f t="shared" si="3"/>
        <v>3460.2404999999999</v>
      </c>
      <c r="P23" s="1">
        <f t="shared" si="8"/>
        <v>221.66199999999981</v>
      </c>
      <c r="Q23" s="1">
        <f t="shared" si="9"/>
        <v>162.95500000000038</v>
      </c>
      <c r="R23" s="9">
        <f t="shared" si="10"/>
        <v>3699.9679999999994</v>
      </c>
      <c r="S23" s="9">
        <f t="shared" si="11"/>
        <v>3641.261</v>
      </c>
    </row>
    <row r="24" spans="1:21" x14ac:dyDescent="0.25">
      <c r="A24" s="4">
        <v>2190</v>
      </c>
      <c r="B24" s="1">
        <v>2871.4409999999998</v>
      </c>
      <c r="C24" s="1">
        <v>2793.1709999999998</v>
      </c>
      <c r="D24" s="1">
        <v>2686.83</v>
      </c>
      <c r="E24" s="1">
        <v>2921.6669999999999</v>
      </c>
      <c r="F24" s="1">
        <v>2749.9929999999999</v>
      </c>
      <c r="G24" s="1">
        <v>2804.4850000000001</v>
      </c>
      <c r="H24" s="1">
        <v>2842.029</v>
      </c>
      <c r="I24" s="1">
        <v>2868.9960000000001</v>
      </c>
      <c r="J24" s="1">
        <v>2804.8090000000002</v>
      </c>
      <c r="K24" s="1">
        <v>2918.672</v>
      </c>
      <c r="L24" s="2">
        <f t="shared" si="0"/>
        <v>2686.83</v>
      </c>
      <c r="M24" s="2">
        <f t="shared" si="1"/>
        <v>2921.6669999999999</v>
      </c>
      <c r="N24" s="2">
        <f t="shared" si="2"/>
        <v>2823.4189999999999</v>
      </c>
      <c r="O24" s="2">
        <f t="shared" si="3"/>
        <v>2826.2092999999995</v>
      </c>
      <c r="P24" s="1">
        <f t="shared" si="8"/>
        <v>136.58899999999994</v>
      </c>
      <c r="Q24" s="1">
        <f t="shared" si="9"/>
        <v>98.248000000000047</v>
      </c>
      <c r="R24" s="9">
        <f t="shared" si="10"/>
        <v>2960.0079999999998</v>
      </c>
      <c r="S24" s="9">
        <f t="shared" si="11"/>
        <v>2921.6669999999999</v>
      </c>
    </row>
    <row r="25" spans="1:21" ht="30.75" customHeight="1" x14ac:dyDescent="0.25">
      <c r="A25" s="6" t="s">
        <v>6</v>
      </c>
      <c r="B25" s="5">
        <v>1</v>
      </c>
      <c r="C25" s="5">
        <v>2</v>
      </c>
      <c r="D25" s="5">
        <v>3</v>
      </c>
      <c r="E25" s="5">
        <v>4</v>
      </c>
      <c r="F25" s="5">
        <v>5</v>
      </c>
      <c r="G25" s="5">
        <v>6</v>
      </c>
      <c r="H25" s="5">
        <v>7</v>
      </c>
      <c r="I25" s="5">
        <v>8</v>
      </c>
      <c r="J25" s="5">
        <v>9</v>
      </c>
      <c r="K25" s="5">
        <v>10</v>
      </c>
      <c r="L25" s="5" t="s">
        <v>0</v>
      </c>
      <c r="M25" s="5" t="s">
        <v>1</v>
      </c>
      <c r="N25" s="5" t="s">
        <v>2</v>
      </c>
      <c r="O25" s="5" t="s">
        <v>3</v>
      </c>
      <c r="P25" s="5" t="s">
        <v>10</v>
      </c>
      <c r="Q25" s="5" t="s">
        <v>11</v>
      </c>
      <c r="R25" s="8" t="s">
        <v>12</v>
      </c>
      <c r="S25" s="8" t="s">
        <v>13</v>
      </c>
      <c r="T25" s="5" t="s">
        <v>4</v>
      </c>
      <c r="U25" s="10" t="s">
        <v>14</v>
      </c>
    </row>
    <row r="26" spans="1:21" x14ac:dyDescent="0.25">
      <c r="A26" s="11">
        <v>490</v>
      </c>
      <c r="B26" s="1">
        <v>3384.8580000000002</v>
      </c>
      <c r="C26" s="1">
        <v>3415.029</v>
      </c>
      <c r="D26" s="1">
        <v>3426.183</v>
      </c>
      <c r="E26" s="1">
        <v>3233.306</v>
      </c>
      <c r="F26" s="1">
        <v>3071.7170000000001</v>
      </c>
      <c r="G26" s="1">
        <v>3305.9870000000001</v>
      </c>
      <c r="H26" s="1">
        <v>3385.819</v>
      </c>
      <c r="I26" s="1">
        <v>3342.67</v>
      </c>
      <c r="J26" s="1">
        <v>3123.3780000000002</v>
      </c>
      <c r="K26" s="1">
        <v>3061.3029999999999</v>
      </c>
      <c r="L26" s="2">
        <f t="shared" si="0"/>
        <v>3061.3029999999999</v>
      </c>
      <c r="M26" s="2">
        <f t="shared" si="1"/>
        <v>3426.183</v>
      </c>
      <c r="N26" s="2">
        <f t="shared" si="2"/>
        <v>3324.3285000000001</v>
      </c>
      <c r="O26" s="2">
        <f t="shared" si="3"/>
        <v>3275.0250000000005</v>
      </c>
      <c r="P26" s="1">
        <f t="shared" si="8"/>
        <v>263.02550000000019</v>
      </c>
      <c r="Q26" s="1">
        <f t="shared" si="9"/>
        <v>101.85449999999992</v>
      </c>
      <c r="R26" s="9">
        <f t="shared" si="10"/>
        <v>3587.3540000000003</v>
      </c>
      <c r="S26" s="9">
        <f t="shared" si="11"/>
        <v>3426.183</v>
      </c>
      <c r="T26" t="s">
        <v>15</v>
      </c>
    </row>
    <row r="27" spans="1:21" x14ac:dyDescent="0.25">
      <c r="A27" s="11">
        <v>560</v>
      </c>
      <c r="B27" s="1">
        <v>3414.92</v>
      </c>
      <c r="C27" s="1">
        <v>3434.2150000000001</v>
      </c>
      <c r="D27" s="1">
        <v>3383.0949999999998</v>
      </c>
      <c r="E27" s="1">
        <v>3318.1990000000001</v>
      </c>
      <c r="F27" s="1">
        <v>3118.348</v>
      </c>
      <c r="G27" s="1">
        <v>3324.1750000000002</v>
      </c>
      <c r="H27" s="1">
        <v>3457.35</v>
      </c>
      <c r="I27" s="1">
        <v>3409.174</v>
      </c>
      <c r="J27" s="1">
        <v>3207.3850000000002</v>
      </c>
      <c r="K27" s="1">
        <v>3137.7860000000001</v>
      </c>
      <c r="L27" s="2">
        <f t="shared" si="0"/>
        <v>3118.348</v>
      </c>
      <c r="M27" s="2">
        <f t="shared" si="1"/>
        <v>3457.35</v>
      </c>
      <c r="N27" s="2">
        <f t="shared" si="2"/>
        <v>3353.6350000000002</v>
      </c>
      <c r="O27" s="2">
        <f t="shared" si="3"/>
        <v>3320.4646999999995</v>
      </c>
      <c r="P27" s="1">
        <f t="shared" si="8"/>
        <v>235.28700000000026</v>
      </c>
      <c r="Q27" s="1">
        <f t="shared" si="9"/>
        <v>103.71499999999969</v>
      </c>
      <c r="R27" s="9">
        <f t="shared" si="10"/>
        <v>3588.9220000000005</v>
      </c>
      <c r="S27" s="9">
        <f t="shared" si="11"/>
        <v>3457.35</v>
      </c>
    </row>
    <row r="28" spans="1:21" x14ac:dyDescent="0.25">
      <c r="A28" s="11">
        <v>665</v>
      </c>
      <c r="B28" s="1">
        <v>3231.364</v>
      </c>
      <c r="C28" s="1">
        <v>3330.7220000000002</v>
      </c>
      <c r="D28" s="1">
        <v>3246.402</v>
      </c>
      <c r="E28" s="1">
        <v>3291.2240000000002</v>
      </c>
      <c r="F28" s="1">
        <v>3061.6219999999998</v>
      </c>
      <c r="G28" s="1">
        <v>3213.03</v>
      </c>
      <c r="H28" s="1">
        <v>3388.0619999999999</v>
      </c>
      <c r="I28" s="1">
        <v>3331.0329999999999</v>
      </c>
      <c r="J28" s="1">
        <v>3166.5529999999999</v>
      </c>
      <c r="K28" s="1">
        <v>3104.3560000000002</v>
      </c>
      <c r="L28" s="2">
        <f t="shared" si="0"/>
        <v>3061.6219999999998</v>
      </c>
      <c r="M28" s="2">
        <f t="shared" si="1"/>
        <v>3388.0619999999999</v>
      </c>
      <c r="N28" s="2">
        <f t="shared" si="2"/>
        <v>3238.8829999999998</v>
      </c>
      <c r="O28" s="2">
        <f t="shared" si="3"/>
        <v>3236.4367999999999</v>
      </c>
      <c r="P28" s="1">
        <f t="shared" si="8"/>
        <v>177.26099999999997</v>
      </c>
      <c r="Q28" s="1">
        <f t="shared" si="9"/>
        <v>149.17900000000009</v>
      </c>
      <c r="R28" s="9">
        <f t="shared" si="10"/>
        <v>3416.1439999999998</v>
      </c>
      <c r="S28" s="9">
        <f t="shared" si="11"/>
        <v>3388.0619999999999</v>
      </c>
    </row>
    <row r="29" spans="1:21" x14ac:dyDescent="0.25">
      <c r="A29" s="11">
        <v>705</v>
      </c>
      <c r="B29" s="1">
        <v>3618.424</v>
      </c>
      <c r="C29" s="1">
        <v>3702.2159999999999</v>
      </c>
      <c r="D29" s="1">
        <v>3568.8960000000002</v>
      </c>
      <c r="E29" s="1">
        <v>3659.4409999999998</v>
      </c>
      <c r="F29" s="1">
        <v>3410.3159999999998</v>
      </c>
      <c r="G29" s="1">
        <v>3570.7130000000002</v>
      </c>
      <c r="H29" s="1">
        <v>3706.54</v>
      </c>
      <c r="I29" s="1">
        <v>3669.0540000000001</v>
      </c>
      <c r="J29" s="1">
        <v>3444.4740000000002</v>
      </c>
      <c r="K29" s="1">
        <v>3406.009</v>
      </c>
      <c r="L29" s="2">
        <f t="shared" si="0"/>
        <v>3406.009</v>
      </c>
      <c r="M29" s="2">
        <f t="shared" si="1"/>
        <v>3706.54</v>
      </c>
      <c r="N29" s="2">
        <f t="shared" si="2"/>
        <v>3594.5685000000003</v>
      </c>
      <c r="O29" s="2">
        <f t="shared" si="3"/>
        <v>3575.6082999999999</v>
      </c>
      <c r="P29" s="1">
        <f t="shared" si="8"/>
        <v>188.5595000000003</v>
      </c>
      <c r="Q29" s="1">
        <f t="shared" si="9"/>
        <v>111.97149999999965</v>
      </c>
      <c r="R29" s="9">
        <f t="shared" si="10"/>
        <v>3783.1280000000006</v>
      </c>
      <c r="S29" s="9">
        <f t="shared" si="11"/>
        <v>3706.54</v>
      </c>
    </row>
    <row r="30" spans="1:21" x14ac:dyDescent="0.25">
      <c r="A30" s="11">
        <v>740</v>
      </c>
      <c r="B30" s="1">
        <v>4410.0990000000002</v>
      </c>
      <c r="C30" s="1">
        <v>4430.1360000000004</v>
      </c>
      <c r="D30" s="1">
        <v>4313.0739999999996</v>
      </c>
      <c r="E30" s="1">
        <v>4325.875</v>
      </c>
      <c r="F30" s="1">
        <v>3992.79</v>
      </c>
      <c r="G30" s="1">
        <v>4203.915</v>
      </c>
      <c r="H30" s="1">
        <v>4377.8040000000001</v>
      </c>
      <c r="I30" s="1">
        <v>4476.942</v>
      </c>
      <c r="J30" s="1">
        <v>4126.2610000000004</v>
      </c>
      <c r="K30" s="1">
        <v>4348.4560000000001</v>
      </c>
      <c r="L30" s="2">
        <f t="shared" si="0"/>
        <v>3992.79</v>
      </c>
      <c r="M30" s="2">
        <f t="shared" si="1"/>
        <v>4476.942</v>
      </c>
      <c r="N30" s="2">
        <f t="shared" si="2"/>
        <v>4337.1655000000001</v>
      </c>
      <c r="O30" s="2">
        <f t="shared" si="3"/>
        <v>4300.5352000000003</v>
      </c>
      <c r="P30" s="1">
        <f t="shared" si="8"/>
        <v>344.3755000000001</v>
      </c>
      <c r="Q30" s="1">
        <f t="shared" si="9"/>
        <v>139.77649999999994</v>
      </c>
      <c r="R30" s="9">
        <f t="shared" si="10"/>
        <v>4681.5410000000002</v>
      </c>
      <c r="S30" s="9">
        <f t="shared" si="11"/>
        <v>4476.942</v>
      </c>
    </row>
    <row r="31" spans="1:21" x14ac:dyDescent="0.25">
      <c r="A31" s="11">
        <v>783</v>
      </c>
      <c r="B31" s="1">
        <v>4714.6369999999997</v>
      </c>
      <c r="C31" s="1">
        <v>4759.3050000000003</v>
      </c>
      <c r="D31" s="1">
        <v>4672.1350000000002</v>
      </c>
      <c r="E31" s="1">
        <v>4614.9409999999998</v>
      </c>
      <c r="F31" s="1">
        <v>4253.4859999999999</v>
      </c>
      <c r="G31" s="1">
        <v>4476.4369999999999</v>
      </c>
      <c r="H31" s="1">
        <v>4682.6880000000001</v>
      </c>
      <c r="I31" s="1">
        <v>4838.0349999999999</v>
      </c>
      <c r="J31" s="1">
        <v>4446.665</v>
      </c>
      <c r="K31" s="1">
        <v>4874.4759999999997</v>
      </c>
      <c r="L31" s="2">
        <f t="shared" si="0"/>
        <v>4253.4859999999999</v>
      </c>
      <c r="M31" s="2">
        <f t="shared" si="1"/>
        <v>4874.4759999999997</v>
      </c>
      <c r="N31" s="2">
        <f t="shared" si="2"/>
        <v>4677.4115000000002</v>
      </c>
      <c r="O31" s="2">
        <f t="shared" si="3"/>
        <v>4633.2805000000008</v>
      </c>
      <c r="P31" s="1">
        <f t="shared" si="8"/>
        <v>423.92550000000028</v>
      </c>
      <c r="Q31" s="1">
        <f t="shared" si="9"/>
        <v>197.0644999999995</v>
      </c>
      <c r="R31" s="9">
        <f t="shared" si="10"/>
        <v>5101.3370000000004</v>
      </c>
      <c r="S31" s="9">
        <f t="shared" si="11"/>
        <v>4874.4759999999997</v>
      </c>
    </row>
    <row r="32" spans="1:21" x14ac:dyDescent="0.25">
      <c r="A32" s="11">
        <v>842</v>
      </c>
      <c r="B32" s="1">
        <v>4731.9449999999997</v>
      </c>
      <c r="C32" s="1">
        <v>4812.1390000000001</v>
      </c>
      <c r="D32" s="1">
        <v>4705.6350000000002</v>
      </c>
      <c r="E32" s="1">
        <v>4572.0590000000002</v>
      </c>
      <c r="F32" s="1">
        <v>4279.8909999999996</v>
      </c>
      <c r="G32" s="1">
        <v>4405.2290000000003</v>
      </c>
      <c r="H32" s="1">
        <v>4664.92</v>
      </c>
      <c r="I32" s="1">
        <v>4816.8090000000002</v>
      </c>
      <c r="J32" s="1">
        <v>4428.6149999999998</v>
      </c>
      <c r="K32" s="1">
        <v>4885.0749999999998</v>
      </c>
      <c r="L32" s="2">
        <f t="shared" si="0"/>
        <v>4279.8909999999996</v>
      </c>
      <c r="M32" s="2">
        <f t="shared" si="1"/>
        <v>4885.0749999999998</v>
      </c>
      <c r="N32" s="2">
        <f t="shared" si="2"/>
        <v>4685.2775000000001</v>
      </c>
      <c r="O32" s="2">
        <f t="shared" si="3"/>
        <v>4630.2316999999994</v>
      </c>
      <c r="P32" s="1">
        <f t="shared" si="8"/>
        <v>405.38650000000052</v>
      </c>
      <c r="Q32" s="1">
        <f t="shared" si="9"/>
        <v>199.79749999999967</v>
      </c>
      <c r="R32" s="9">
        <f t="shared" si="10"/>
        <v>5090.6640000000007</v>
      </c>
      <c r="S32" s="9">
        <f t="shared" si="11"/>
        <v>4885.0749999999998</v>
      </c>
    </row>
    <row r="33" spans="1:21" x14ac:dyDescent="0.25">
      <c r="A33" s="11">
        <v>865</v>
      </c>
      <c r="B33" s="1">
        <v>4840.4870000000001</v>
      </c>
      <c r="C33" s="1">
        <v>4910.2929999999997</v>
      </c>
      <c r="D33" s="1">
        <v>4750.8459999999995</v>
      </c>
      <c r="E33" s="1">
        <v>4715.7359999999999</v>
      </c>
      <c r="F33" s="1">
        <v>4402.9319999999998</v>
      </c>
      <c r="G33" s="1">
        <v>4584.4989999999998</v>
      </c>
      <c r="H33" s="1">
        <v>4800.4189999999999</v>
      </c>
      <c r="I33" s="1">
        <v>4968.4769999999999</v>
      </c>
      <c r="J33" s="1">
        <v>4572.0969999999998</v>
      </c>
      <c r="K33" s="1">
        <v>5001.9399999999996</v>
      </c>
      <c r="L33" s="2">
        <f t="shared" si="0"/>
        <v>4402.9319999999998</v>
      </c>
      <c r="M33" s="2">
        <f t="shared" si="1"/>
        <v>5001.9399999999996</v>
      </c>
      <c r="N33" s="2">
        <f t="shared" si="2"/>
        <v>4775.6324999999997</v>
      </c>
      <c r="O33" s="2">
        <f t="shared" si="3"/>
        <v>4754.7726000000002</v>
      </c>
      <c r="P33" s="1">
        <f t="shared" si="8"/>
        <v>372.70049999999992</v>
      </c>
      <c r="Q33" s="1">
        <f t="shared" si="9"/>
        <v>226.30749999999989</v>
      </c>
      <c r="R33" s="9">
        <f t="shared" si="10"/>
        <v>5148.3329999999996</v>
      </c>
      <c r="S33" s="9">
        <f t="shared" si="11"/>
        <v>5001.9399999999996</v>
      </c>
    </row>
    <row r="34" spans="1:21" x14ac:dyDescent="0.25">
      <c r="A34" s="11">
        <v>945</v>
      </c>
      <c r="B34" s="1">
        <v>5611.0860000000002</v>
      </c>
      <c r="C34" s="1">
        <v>5757.7579999999998</v>
      </c>
      <c r="D34" s="1">
        <v>5865.9129999999996</v>
      </c>
      <c r="E34" s="1">
        <v>5433.73</v>
      </c>
      <c r="F34" s="1">
        <v>5149.3739999999998</v>
      </c>
      <c r="G34" s="1">
        <v>5471.598</v>
      </c>
      <c r="H34" s="1">
        <v>5227.357</v>
      </c>
      <c r="I34" s="1">
        <v>5398.982</v>
      </c>
      <c r="J34" s="1">
        <v>4940.5600000000004</v>
      </c>
      <c r="K34" s="1">
        <v>5168.3419999999996</v>
      </c>
      <c r="L34" s="2">
        <f t="shared" si="0"/>
        <v>4940.5600000000004</v>
      </c>
      <c r="M34" s="2">
        <f t="shared" si="1"/>
        <v>5865.9129999999996</v>
      </c>
      <c r="N34" s="2">
        <f t="shared" si="2"/>
        <v>5416.3559999999998</v>
      </c>
      <c r="O34" s="2">
        <f t="shared" si="3"/>
        <v>5402.47</v>
      </c>
      <c r="P34" s="1">
        <f t="shared" si="8"/>
        <v>475.79599999999937</v>
      </c>
      <c r="Q34" s="1">
        <f t="shared" si="9"/>
        <v>449.55699999999979</v>
      </c>
      <c r="R34" s="9">
        <f t="shared" si="10"/>
        <v>5892.1519999999991</v>
      </c>
      <c r="S34" s="9">
        <f t="shared" si="11"/>
        <v>5865.9129999999996</v>
      </c>
    </row>
    <row r="35" spans="1:21" x14ac:dyDescent="0.25">
      <c r="A35" s="11">
        <v>1615</v>
      </c>
      <c r="B35" s="1">
        <v>3413.2449999999999</v>
      </c>
      <c r="C35" s="1">
        <v>3601.1990000000001</v>
      </c>
      <c r="D35" s="1">
        <v>3337.0329999999999</v>
      </c>
      <c r="E35" s="1">
        <v>3504.4180000000001</v>
      </c>
      <c r="F35" s="1">
        <v>3424.52</v>
      </c>
      <c r="G35" s="1">
        <v>3329.0050000000001</v>
      </c>
      <c r="H35" s="1">
        <v>3501.0549999999998</v>
      </c>
      <c r="I35" s="1">
        <v>3500.6610000000001</v>
      </c>
      <c r="J35" s="1">
        <v>3264.0590000000002</v>
      </c>
      <c r="K35" s="1">
        <v>3232.7860000000001</v>
      </c>
      <c r="L35" s="2">
        <f t="shared" si="0"/>
        <v>3232.7860000000001</v>
      </c>
      <c r="M35" s="2">
        <f t="shared" si="1"/>
        <v>3601.1990000000001</v>
      </c>
      <c r="N35" s="2">
        <f t="shared" si="2"/>
        <v>3418.8824999999997</v>
      </c>
      <c r="O35" s="2">
        <f t="shared" si="3"/>
        <v>3410.7981</v>
      </c>
      <c r="P35" s="1">
        <f t="shared" si="8"/>
        <v>186.09649999999965</v>
      </c>
      <c r="Q35" s="1">
        <f t="shared" si="9"/>
        <v>182.31650000000036</v>
      </c>
      <c r="R35" s="9">
        <f t="shared" si="10"/>
        <v>3604.9789999999994</v>
      </c>
      <c r="S35" s="9">
        <f t="shared" si="11"/>
        <v>3601.1990000000001</v>
      </c>
    </row>
    <row r="36" spans="1:21" x14ac:dyDescent="0.25">
      <c r="A36" s="11">
        <v>2190</v>
      </c>
      <c r="B36" s="1">
        <v>2717.7739999999999</v>
      </c>
      <c r="C36" s="1">
        <v>2858.1439999999998</v>
      </c>
      <c r="D36" s="1">
        <v>2733.4029999999998</v>
      </c>
      <c r="E36" s="1">
        <v>2841.3339999999998</v>
      </c>
      <c r="F36" s="1">
        <v>2776.0630000000001</v>
      </c>
      <c r="G36" s="1">
        <v>2745.5990000000002</v>
      </c>
      <c r="H36" s="1">
        <v>2847.8960000000002</v>
      </c>
      <c r="I36" s="1">
        <v>2779.989</v>
      </c>
      <c r="J36" s="1">
        <v>2632.1930000000002</v>
      </c>
      <c r="K36" s="1">
        <v>2548.444</v>
      </c>
      <c r="L36" s="2">
        <f t="shared" si="0"/>
        <v>2548.444</v>
      </c>
      <c r="M36" s="2">
        <f t="shared" si="1"/>
        <v>2858.1439999999998</v>
      </c>
      <c r="N36" s="2">
        <f t="shared" si="2"/>
        <v>2760.8310000000001</v>
      </c>
      <c r="O36" s="2">
        <f t="shared" si="3"/>
        <v>2748.0839000000001</v>
      </c>
      <c r="P36" s="1">
        <f t="shared" si="8"/>
        <v>212.38700000000017</v>
      </c>
      <c r="Q36" s="1">
        <f t="shared" si="9"/>
        <v>97.312999999999647</v>
      </c>
      <c r="R36" s="9">
        <f t="shared" si="10"/>
        <v>2973.2180000000003</v>
      </c>
      <c r="S36" s="9">
        <f t="shared" si="11"/>
        <v>2858.1439999999998</v>
      </c>
    </row>
    <row r="37" spans="1:21" ht="34.5" customHeight="1" x14ac:dyDescent="0.25">
      <c r="A37" s="6" t="s">
        <v>6</v>
      </c>
      <c r="B37" s="5">
        <v>1</v>
      </c>
      <c r="C37" s="5">
        <v>2</v>
      </c>
      <c r="D37" s="5">
        <v>3</v>
      </c>
      <c r="E37" s="5">
        <v>4</v>
      </c>
      <c r="F37" s="5">
        <v>5</v>
      </c>
      <c r="G37" s="5">
        <v>6</v>
      </c>
      <c r="H37" s="5">
        <v>7</v>
      </c>
      <c r="I37" s="5">
        <v>8</v>
      </c>
      <c r="J37" s="5">
        <v>9</v>
      </c>
      <c r="K37" s="5">
        <v>10</v>
      </c>
      <c r="L37" s="5" t="s">
        <v>0</v>
      </c>
      <c r="M37" s="5" t="s">
        <v>1</v>
      </c>
      <c r="N37" s="5" t="s">
        <v>2</v>
      </c>
      <c r="O37" s="5" t="s">
        <v>3</v>
      </c>
      <c r="P37" s="5" t="s">
        <v>10</v>
      </c>
      <c r="Q37" s="5" t="s">
        <v>11</v>
      </c>
      <c r="R37" s="8" t="s">
        <v>12</v>
      </c>
      <c r="S37" s="8" t="s">
        <v>13</v>
      </c>
      <c r="T37" s="5" t="s">
        <v>4</v>
      </c>
      <c r="U37" s="10" t="s">
        <v>16</v>
      </c>
    </row>
    <row r="38" spans="1:21" x14ac:dyDescent="0.25">
      <c r="A38" s="1">
        <v>490</v>
      </c>
      <c r="B38" s="1">
        <v>3601.6590000000001</v>
      </c>
      <c r="C38" s="1">
        <v>3409.0360000000001</v>
      </c>
      <c r="D38" s="1">
        <v>3363.3679999999999</v>
      </c>
      <c r="E38" s="1">
        <v>3629.944</v>
      </c>
      <c r="F38" s="1">
        <v>3489.953</v>
      </c>
      <c r="G38" s="1">
        <v>3137.9229999999998</v>
      </c>
      <c r="H38" s="1">
        <v>3034.8679999999999</v>
      </c>
      <c r="I38" s="1">
        <v>3043.8760000000002</v>
      </c>
      <c r="J38" s="1">
        <v>3208.0909999999999</v>
      </c>
      <c r="K38" s="1">
        <v>3489.953</v>
      </c>
      <c r="L38" s="2">
        <f t="shared" si="0"/>
        <v>3034.8679999999999</v>
      </c>
      <c r="M38" s="2">
        <f t="shared" si="1"/>
        <v>3629.944</v>
      </c>
      <c r="N38" s="2">
        <f t="shared" si="2"/>
        <v>3386.2020000000002</v>
      </c>
      <c r="O38" s="2">
        <f t="shared" si="3"/>
        <v>3340.8670999999995</v>
      </c>
      <c r="P38" s="1">
        <f t="shared" si="8"/>
        <v>351.33400000000029</v>
      </c>
      <c r="Q38" s="1">
        <f t="shared" si="9"/>
        <v>243.74199999999973</v>
      </c>
      <c r="R38" s="9">
        <f t="shared" si="10"/>
        <v>3737.5360000000005</v>
      </c>
      <c r="S38" s="9">
        <f t="shared" si="11"/>
        <v>3629.944</v>
      </c>
      <c r="T38" t="s">
        <v>22</v>
      </c>
    </row>
    <row r="39" spans="1:21" x14ac:dyDescent="0.25">
      <c r="A39" s="1">
        <v>560</v>
      </c>
      <c r="B39" s="1">
        <v>3710.9540000000002</v>
      </c>
      <c r="C39" s="1">
        <v>3386.9760000000001</v>
      </c>
      <c r="D39" s="1">
        <v>3333.366</v>
      </c>
      <c r="E39" s="1">
        <v>3690.1460000000002</v>
      </c>
      <c r="F39" s="1">
        <v>3452.4450000000002</v>
      </c>
      <c r="G39" s="1">
        <v>3456.614</v>
      </c>
      <c r="H39" s="1">
        <v>3102.7420000000002</v>
      </c>
      <c r="I39" s="1">
        <v>3134.02</v>
      </c>
      <c r="J39" s="1">
        <v>3291.3249999999998</v>
      </c>
      <c r="K39" s="1">
        <v>3452.4450000000002</v>
      </c>
      <c r="L39" s="2">
        <f t="shared" si="0"/>
        <v>3102.7420000000002</v>
      </c>
      <c r="M39" s="2">
        <f t="shared" si="1"/>
        <v>3710.9540000000002</v>
      </c>
      <c r="N39" s="2">
        <f t="shared" si="2"/>
        <v>3419.7105000000001</v>
      </c>
      <c r="O39" s="2">
        <f t="shared" si="3"/>
        <v>3401.1033000000002</v>
      </c>
      <c r="P39" s="1">
        <f t="shared" si="8"/>
        <v>316.96849999999995</v>
      </c>
      <c r="Q39" s="1">
        <f t="shared" si="9"/>
        <v>291.24350000000004</v>
      </c>
      <c r="R39" s="9">
        <f t="shared" si="10"/>
        <v>3736.6790000000001</v>
      </c>
      <c r="S39" s="9">
        <f t="shared" si="11"/>
        <v>3710.9540000000002</v>
      </c>
    </row>
    <row r="40" spans="1:21" x14ac:dyDescent="0.25">
      <c r="A40" s="1">
        <v>665</v>
      </c>
      <c r="B40" s="1">
        <v>3577.944</v>
      </c>
      <c r="C40" s="1">
        <v>3489.2869999999998</v>
      </c>
      <c r="D40" s="1">
        <v>3523.6590000000001</v>
      </c>
      <c r="E40" s="1">
        <v>3596.5610000000001</v>
      </c>
      <c r="F40" s="1">
        <v>3334.19</v>
      </c>
      <c r="G40" s="1">
        <v>3353.1039999999998</v>
      </c>
      <c r="H40" s="1">
        <v>3335.125</v>
      </c>
      <c r="I40" s="1">
        <v>3349.1509999999998</v>
      </c>
      <c r="J40" s="1">
        <v>3454.1750000000002</v>
      </c>
      <c r="K40" s="1">
        <v>3334.19</v>
      </c>
      <c r="L40" s="2">
        <f t="shared" si="0"/>
        <v>3334.19</v>
      </c>
      <c r="M40" s="2">
        <f t="shared" si="1"/>
        <v>3596.5610000000001</v>
      </c>
      <c r="N40" s="2">
        <f t="shared" si="2"/>
        <v>3403.6395000000002</v>
      </c>
      <c r="O40" s="2">
        <f t="shared" si="3"/>
        <v>3434.7385999999997</v>
      </c>
      <c r="P40" s="1">
        <f t="shared" si="8"/>
        <v>69.449500000000171</v>
      </c>
      <c r="Q40" s="1">
        <f t="shared" si="9"/>
        <v>192.92149999999992</v>
      </c>
      <c r="R40" s="9">
        <f t="shared" si="10"/>
        <v>3473.0890000000004</v>
      </c>
      <c r="S40" s="9">
        <f t="shared" si="11"/>
        <v>3596.5610000000001</v>
      </c>
    </row>
    <row r="41" spans="1:21" x14ac:dyDescent="0.25">
      <c r="A41" s="1">
        <v>705</v>
      </c>
      <c r="B41" s="1">
        <v>3955.2170000000001</v>
      </c>
      <c r="C41" s="1">
        <v>3827.2339999999999</v>
      </c>
      <c r="D41" s="1">
        <v>3807.9929999999999</v>
      </c>
      <c r="E41" s="1">
        <v>3926.6120000000001</v>
      </c>
      <c r="F41" s="1">
        <v>3685.5749999999998</v>
      </c>
      <c r="G41" s="1">
        <v>3682.777</v>
      </c>
      <c r="H41" s="1">
        <v>3637.7109999999998</v>
      </c>
      <c r="I41" s="1">
        <v>3763.1990000000001</v>
      </c>
      <c r="J41" s="1">
        <v>3832.41</v>
      </c>
      <c r="K41" s="1">
        <v>3685.5749999999998</v>
      </c>
      <c r="L41" s="2">
        <f t="shared" si="0"/>
        <v>3637.7109999999998</v>
      </c>
      <c r="M41" s="2">
        <f t="shared" si="1"/>
        <v>3955.2170000000001</v>
      </c>
      <c r="N41" s="2">
        <f t="shared" si="2"/>
        <v>3785.596</v>
      </c>
      <c r="O41" s="2">
        <f t="shared" si="3"/>
        <v>3780.4303</v>
      </c>
      <c r="P41" s="1">
        <f t="shared" si="8"/>
        <v>147.88500000000022</v>
      </c>
      <c r="Q41" s="1">
        <f t="shared" si="9"/>
        <v>169.62100000000009</v>
      </c>
      <c r="R41" s="9">
        <f t="shared" si="10"/>
        <v>3933.4810000000002</v>
      </c>
      <c r="S41" s="9">
        <f t="shared" si="11"/>
        <v>3955.2170000000001</v>
      </c>
    </row>
    <row r="42" spans="1:21" x14ac:dyDescent="0.25">
      <c r="A42" s="1">
        <v>740</v>
      </c>
      <c r="B42" s="1">
        <v>4684.4830000000002</v>
      </c>
      <c r="C42" s="1">
        <v>4530.7389999999996</v>
      </c>
      <c r="D42" s="1">
        <v>4422.8869999999997</v>
      </c>
      <c r="E42" s="1">
        <v>4486.1360000000004</v>
      </c>
      <c r="F42" s="1">
        <v>4183.3</v>
      </c>
      <c r="G42" s="1">
        <v>4453.3190000000004</v>
      </c>
      <c r="H42" s="1">
        <v>4268.0619999999999</v>
      </c>
      <c r="I42" s="1">
        <v>4536.817</v>
      </c>
      <c r="J42" s="1">
        <v>4718.25</v>
      </c>
      <c r="K42" s="1">
        <v>4183.3</v>
      </c>
      <c r="L42" s="2">
        <f t="shared" si="0"/>
        <v>4183.3</v>
      </c>
      <c r="M42" s="2">
        <f t="shared" si="1"/>
        <v>4718.25</v>
      </c>
      <c r="N42" s="2">
        <f t="shared" si="2"/>
        <v>4469.7275000000009</v>
      </c>
      <c r="O42" s="2">
        <f t="shared" si="3"/>
        <v>4446.7293000000009</v>
      </c>
      <c r="P42" s="1">
        <f t="shared" si="8"/>
        <v>286.42750000000069</v>
      </c>
      <c r="Q42" s="1">
        <f t="shared" si="9"/>
        <v>248.52249999999913</v>
      </c>
      <c r="R42" s="9">
        <f t="shared" si="10"/>
        <v>4756.1550000000016</v>
      </c>
      <c r="S42" s="9">
        <f t="shared" si="11"/>
        <v>4718.25</v>
      </c>
    </row>
    <row r="43" spans="1:21" x14ac:dyDescent="0.25">
      <c r="A43" s="1">
        <v>783</v>
      </c>
      <c r="B43" s="1">
        <v>5034.7560000000003</v>
      </c>
      <c r="C43" s="1">
        <v>4911.0190000000002</v>
      </c>
      <c r="D43" s="1">
        <v>4725.2749999999996</v>
      </c>
      <c r="E43" s="1">
        <v>4763.9780000000001</v>
      </c>
      <c r="F43" s="1">
        <v>4392.3109999999997</v>
      </c>
      <c r="G43" s="1">
        <v>4805.1930000000002</v>
      </c>
      <c r="H43" s="1">
        <v>4554.9560000000001</v>
      </c>
      <c r="I43" s="1">
        <v>4803.732</v>
      </c>
      <c r="J43" s="1">
        <v>5071.7740000000003</v>
      </c>
      <c r="K43" s="1">
        <v>4392.3109999999997</v>
      </c>
      <c r="L43" s="2">
        <f t="shared" si="0"/>
        <v>4392.3109999999997</v>
      </c>
      <c r="M43" s="2">
        <f t="shared" si="1"/>
        <v>5071.7740000000003</v>
      </c>
      <c r="N43" s="2">
        <f t="shared" si="2"/>
        <v>4783.8549999999996</v>
      </c>
      <c r="O43" s="2">
        <f t="shared" si="3"/>
        <v>4745.5304999999998</v>
      </c>
      <c r="P43" s="1">
        <f t="shared" si="8"/>
        <v>391.54399999999987</v>
      </c>
      <c r="Q43" s="1">
        <f t="shared" si="9"/>
        <v>287.91900000000078</v>
      </c>
      <c r="R43" s="9">
        <f t="shared" si="10"/>
        <v>5175.3989999999994</v>
      </c>
      <c r="S43" s="9">
        <f t="shared" si="11"/>
        <v>5071.7740000000003</v>
      </c>
    </row>
    <row r="44" spans="1:21" x14ac:dyDescent="0.25">
      <c r="A44" s="1">
        <v>842</v>
      </c>
      <c r="B44" s="1">
        <v>5082.8220000000001</v>
      </c>
      <c r="C44" s="1">
        <v>5143.6239999999998</v>
      </c>
      <c r="D44" s="1">
        <v>4727.9889999999996</v>
      </c>
      <c r="E44" s="1">
        <v>4638.6440000000002</v>
      </c>
      <c r="F44" s="1">
        <v>4356.951</v>
      </c>
      <c r="G44" s="1">
        <v>4790.6149999999998</v>
      </c>
      <c r="H44" s="1">
        <v>4495.1120000000001</v>
      </c>
      <c r="I44" s="1">
        <v>4806.07</v>
      </c>
      <c r="J44" s="1">
        <v>5117.6890000000003</v>
      </c>
      <c r="K44" s="1">
        <v>4356.951</v>
      </c>
      <c r="L44" s="2">
        <f t="shared" si="0"/>
        <v>4356.951</v>
      </c>
      <c r="M44" s="2">
        <f t="shared" si="1"/>
        <v>5143.6239999999998</v>
      </c>
      <c r="N44" s="2">
        <f t="shared" si="2"/>
        <v>4759.3019999999997</v>
      </c>
      <c r="O44" s="2">
        <f t="shared" si="3"/>
        <v>4751.6466999999993</v>
      </c>
      <c r="P44" s="1">
        <f t="shared" si="8"/>
        <v>402.35099999999966</v>
      </c>
      <c r="Q44" s="1">
        <f t="shared" si="9"/>
        <v>384.32200000000012</v>
      </c>
      <c r="R44" s="9">
        <f t="shared" si="10"/>
        <v>5161.6529999999993</v>
      </c>
      <c r="S44" s="9">
        <f t="shared" si="11"/>
        <v>5143.6239999999998</v>
      </c>
    </row>
    <row r="45" spans="1:21" x14ac:dyDescent="0.25">
      <c r="A45" s="1">
        <v>865</v>
      </c>
      <c r="B45" s="1">
        <v>5238.1679999999997</v>
      </c>
      <c r="C45" s="1">
        <v>5002.2430000000004</v>
      </c>
      <c r="D45" s="1">
        <v>4812.8829999999998</v>
      </c>
      <c r="E45" s="1">
        <v>4889.2619999999997</v>
      </c>
      <c r="F45" s="1">
        <v>4508.8900000000003</v>
      </c>
      <c r="G45" s="1">
        <v>4906.8630000000003</v>
      </c>
      <c r="H45" s="1">
        <v>4663.3729999999996</v>
      </c>
      <c r="I45" s="1">
        <v>4927.0839999999998</v>
      </c>
      <c r="J45" s="1">
        <v>5156.4629999999997</v>
      </c>
      <c r="K45" s="1">
        <v>4508.8900000000003</v>
      </c>
      <c r="L45" s="2">
        <f t="shared" si="0"/>
        <v>4508.8900000000003</v>
      </c>
      <c r="M45" s="2">
        <f t="shared" si="1"/>
        <v>5238.1679999999997</v>
      </c>
      <c r="N45" s="2">
        <f t="shared" si="2"/>
        <v>4898.0625</v>
      </c>
      <c r="O45" s="2">
        <f t="shared" si="3"/>
        <v>4861.411900000001</v>
      </c>
      <c r="P45" s="1">
        <f t="shared" si="8"/>
        <v>389.17249999999967</v>
      </c>
      <c r="Q45" s="1">
        <f t="shared" si="9"/>
        <v>340.10549999999967</v>
      </c>
      <c r="R45" s="9">
        <f t="shared" si="10"/>
        <v>5287.2349999999997</v>
      </c>
      <c r="S45" s="9">
        <f t="shared" si="11"/>
        <v>5238.1679999999997</v>
      </c>
    </row>
    <row r="46" spans="1:21" x14ac:dyDescent="0.25">
      <c r="A46" s="1">
        <v>945</v>
      </c>
      <c r="B46" s="1">
        <v>5999.47</v>
      </c>
      <c r="C46" s="1">
        <v>5644.5410000000002</v>
      </c>
      <c r="D46" s="1">
        <v>5600.4709999999995</v>
      </c>
      <c r="E46" s="1">
        <v>5854.12</v>
      </c>
      <c r="F46" s="1">
        <v>5561.0919999999996</v>
      </c>
      <c r="G46" s="1">
        <v>5624.518</v>
      </c>
      <c r="H46" s="1">
        <v>5388.9440000000004</v>
      </c>
      <c r="I46" s="1">
        <v>5565.8469999999998</v>
      </c>
      <c r="J46" s="1">
        <v>5811.223</v>
      </c>
      <c r="K46" s="1">
        <v>5561.0919999999996</v>
      </c>
      <c r="L46" s="2">
        <f t="shared" si="0"/>
        <v>5388.9440000000004</v>
      </c>
      <c r="M46" s="2">
        <f t="shared" si="1"/>
        <v>5999.47</v>
      </c>
      <c r="N46" s="2">
        <f t="shared" si="2"/>
        <v>5612.4944999999998</v>
      </c>
      <c r="O46" s="2">
        <f t="shared" si="3"/>
        <v>5661.1318000000001</v>
      </c>
      <c r="P46" s="1">
        <f t="shared" si="8"/>
        <v>223.55049999999937</v>
      </c>
      <c r="Q46" s="1">
        <f t="shared" si="9"/>
        <v>386.97550000000047</v>
      </c>
      <c r="R46" s="9">
        <f t="shared" si="10"/>
        <v>5836.0449999999992</v>
      </c>
      <c r="S46" s="9">
        <f t="shared" si="11"/>
        <v>5999.47</v>
      </c>
    </row>
    <row r="47" spans="1:21" x14ac:dyDescent="0.25">
      <c r="A47" s="1">
        <v>1615</v>
      </c>
      <c r="B47" s="1">
        <v>3817.5210000000002</v>
      </c>
      <c r="C47" s="1">
        <v>3451.4609999999998</v>
      </c>
      <c r="D47" s="1">
        <v>3380.57</v>
      </c>
      <c r="E47" s="1">
        <v>3605.2629999999999</v>
      </c>
      <c r="F47" s="1">
        <v>3515.9870000000001</v>
      </c>
      <c r="G47" s="1">
        <v>3572.6849999999999</v>
      </c>
      <c r="H47" s="1">
        <v>3366.1390000000001</v>
      </c>
      <c r="I47" s="1">
        <v>3601.1089999999999</v>
      </c>
      <c r="J47" s="1">
        <v>3534.7170000000001</v>
      </c>
      <c r="K47" s="1">
        <v>3515.9870000000001</v>
      </c>
      <c r="L47" s="2">
        <f t="shared" si="0"/>
        <v>3366.1390000000001</v>
      </c>
      <c r="M47" s="2">
        <f t="shared" si="1"/>
        <v>3817.5210000000002</v>
      </c>
      <c r="N47" s="2">
        <f t="shared" si="2"/>
        <v>3525.3519999999999</v>
      </c>
      <c r="O47" s="2">
        <f t="shared" si="3"/>
        <v>3536.1439</v>
      </c>
      <c r="P47" s="1">
        <f t="shared" si="8"/>
        <v>159.21299999999974</v>
      </c>
      <c r="Q47" s="1">
        <f t="shared" si="9"/>
        <v>292.16900000000032</v>
      </c>
      <c r="R47" s="9">
        <f t="shared" si="10"/>
        <v>3684.5649999999996</v>
      </c>
      <c r="S47" s="9">
        <f t="shared" si="11"/>
        <v>3817.5210000000002</v>
      </c>
    </row>
    <row r="48" spans="1:21" x14ac:dyDescent="0.25">
      <c r="A48" s="1">
        <v>2190</v>
      </c>
      <c r="B48" s="1">
        <v>3018.2049999999999</v>
      </c>
      <c r="C48" s="1">
        <v>2841.598</v>
      </c>
      <c r="D48" s="1">
        <v>2818.8389999999999</v>
      </c>
      <c r="E48" s="1">
        <v>3002.201</v>
      </c>
      <c r="F48" s="1">
        <v>2904.5070000000001</v>
      </c>
      <c r="G48" s="1">
        <v>2913.9659999999999</v>
      </c>
      <c r="H48" s="1">
        <v>2805.29</v>
      </c>
      <c r="I48" s="1">
        <v>2879.6750000000002</v>
      </c>
      <c r="J48" s="1">
        <v>2878.4110000000001</v>
      </c>
      <c r="K48" s="1">
        <v>2904.5070000000001</v>
      </c>
      <c r="L48" s="2">
        <f t="shared" si="0"/>
        <v>2805.29</v>
      </c>
      <c r="M48" s="2">
        <f t="shared" si="1"/>
        <v>3018.2049999999999</v>
      </c>
      <c r="N48" s="2">
        <f t="shared" si="2"/>
        <v>2892.0910000000003</v>
      </c>
      <c r="O48" s="2">
        <f t="shared" si="3"/>
        <v>2896.7199000000001</v>
      </c>
      <c r="P48" s="1">
        <f t="shared" si="8"/>
        <v>86.801000000000386</v>
      </c>
      <c r="Q48" s="1">
        <f t="shared" si="9"/>
        <v>126.11399999999958</v>
      </c>
      <c r="R48" s="9">
        <f t="shared" si="10"/>
        <v>2978.8920000000007</v>
      </c>
      <c r="S48" s="9">
        <f t="shared" si="11"/>
        <v>3018.2049999999999</v>
      </c>
    </row>
    <row r="50" spans="1:1" x14ac:dyDescent="0.25">
      <c r="A50" t="s">
        <v>21</v>
      </c>
    </row>
    <row r="51" spans="1:1" x14ac:dyDescent="0.25">
      <c r="A51" t="s">
        <v>17</v>
      </c>
    </row>
    <row r="52" spans="1:1" x14ac:dyDescent="0.25">
      <c r="A52" t="s">
        <v>18</v>
      </c>
    </row>
    <row r="53" spans="1:1" x14ac:dyDescent="0.25">
      <c r="A53" t="s">
        <v>19</v>
      </c>
    </row>
    <row r="54" spans="1:1" x14ac:dyDescent="0.25">
      <c r="A54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ee-chart (65)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Aswale</dc:creator>
  <cp:lastModifiedBy>Sakshi Aswale</cp:lastModifiedBy>
  <dcterms:created xsi:type="dcterms:W3CDTF">2025-03-07T06:56:18Z</dcterms:created>
  <dcterms:modified xsi:type="dcterms:W3CDTF">2025-03-18T11:34:38Z</dcterms:modified>
</cp:coreProperties>
</file>